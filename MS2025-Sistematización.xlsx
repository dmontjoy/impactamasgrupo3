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IEE" sheetId="1" r:id="rId5"/>
    <sheet state="visible" name="Contexto" sheetId="2" r:id="rId6"/>
    <sheet state="visible" name="Alcance" sheetId="3" r:id="rId7"/>
    <sheet state="visible" name="Alcance adicional" sheetId="4" r:id="rId8"/>
    <sheet state="visible" name="CualiEjecución" sheetId="5" r:id="rId9"/>
    <sheet state="visible" name="Ejecución" sheetId="6" r:id="rId10"/>
    <sheet state="visible" name="Lecciones" sheetId="7" r:id="rId11"/>
    <sheet state="visible" name="ProgVSEjec" sheetId="8" r:id="rId12"/>
    <sheet state="visible" name="%ProgVSEjec" sheetId="9" r:id="rId13"/>
    <sheet state="visible" name="Impacto" sheetId="10" r:id="rId14"/>
    <sheet state="visible" name="Sugerencias facilitadora" sheetId="11" r:id="rId15"/>
  </sheets>
  <definedNames/>
  <calcPr/>
</workbook>
</file>

<file path=xl/sharedStrings.xml><?xml version="1.0" encoding="utf-8"?>
<sst xmlns="http://schemas.openxmlformats.org/spreadsheetml/2006/main" count="3198" uniqueCount="706">
  <si>
    <t>Institución educativa</t>
  </si>
  <si>
    <t>UGT</t>
  </si>
  <si>
    <t>Provincia</t>
  </si>
  <si>
    <t>Distrito</t>
  </si>
  <si>
    <t>Centro Poblado</t>
  </si>
  <si>
    <t>Cod modular</t>
  </si>
  <si>
    <t>Cod local</t>
  </si>
  <si>
    <t>Nivel modular</t>
  </si>
  <si>
    <t>88059</t>
  </si>
  <si>
    <t>HUARMEY</t>
  </si>
  <si>
    <t>9 DE OCTUBRE</t>
  </si>
  <si>
    <t>0476531</t>
  </si>
  <si>
    <t>025996</t>
  </si>
  <si>
    <t>Primaria</t>
  </si>
  <si>
    <t>INDUSTRIAL PILOTO MIGUEL GRAU</t>
  </si>
  <si>
    <t>PUERTO HUARMEY</t>
  </si>
  <si>
    <t>0606913</t>
  </si>
  <si>
    <t>026095</t>
  </si>
  <si>
    <t>Secundaria</t>
  </si>
  <si>
    <t>0343640</t>
  </si>
  <si>
    <t>86357</t>
  </si>
  <si>
    <t>MINA</t>
  </si>
  <si>
    <t>HUARI</t>
  </si>
  <si>
    <t>SAN PEDRO DE CHANA</t>
  </si>
  <si>
    <t>SANTA CRUZ DE PICHIU</t>
  </si>
  <si>
    <t>0414094</t>
  </si>
  <si>
    <t>025623</t>
  </si>
  <si>
    <t>86843</t>
  </si>
  <si>
    <t>HUANCAYOC</t>
  </si>
  <si>
    <t>0542662</t>
  </si>
  <si>
    <t>025642</t>
  </si>
  <si>
    <t>86901</t>
  </si>
  <si>
    <t>HUACHIS</t>
  </si>
  <si>
    <t>SAN CRISTOBAL DE TAMBO</t>
  </si>
  <si>
    <t>0597872</t>
  </si>
  <si>
    <t>024464</t>
  </si>
  <si>
    <t>86906</t>
  </si>
  <si>
    <t>VISTOSO</t>
  </si>
  <si>
    <t>0645010</t>
  </si>
  <si>
    <t>025680</t>
  </si>
  <si>
    <t xml:space="preserve">	1396092</t>
  </si>
  <si>
    <t>TECNICO INDUSTRIAL</t>
  </si>
  <si>
    <t>SAN MARCOS</t>
  </si>
  <si>
    <t>AYASH HUARIPAMPA</t>
  </si>
  <si>
    <t>1795707</t>
  </si>
  <si>
    <t>526724</t>
  </si>
  <si>
    <t>86944</t>
  </si>
  <si>
    <t>AYASH PICHIU</t>
  </si>
  <si>
    <t>0681346</t>
  </si>
  <si>
    <t>024483</t>
  </si>
  <si>
    <t>20851</t>
  </si>
  <si>
    <t>VALLE FORTALEZA</t>
  </si>
  <si>
    <t>BOLOGNESI</t>
  </si>
  <si>
    <t>COLQUIOC</t>
  </si>
  <si>
    <t>LLAMPA</t>
  </si>
  <si>
    <t>0247668</t>
  </si>
  <si>
    <t>019655</t>
  </si>
  <si>
    <t>1090851</t>
  </si>
  <si>
    <t>86260</t>
  </si>
  <si>
    <t>CAJACAY</t>
  </si>
  <si>
    <t>COLCA</t>
  </si>
  <si>
    <t>0411447</t>
  </si>
  <si>
    <t>019599</t>
  </si>
  <si>
    <t>20850 MARISCAL CACERES</t>
  </si>
  <si>
    <t>CHASQUITAMBO</t>
  </si>
  <si>
    <t>0247650</t>
  </si>
  <si>
    <t>019641</t>
  </si>
  <si>
    <t>0577270</t>
  </si>
  <si>
    <t>86221 SAN AGUSTIN</t>
  </si>
  <si>
    <t>0415513</t>
  </si>
  <si>
    <t>019561</t>
  </si>
  <si>
    <t>0411850</t>
  </si>
  <si>
    <t>86244 LUIS PARDO NOVOA</t>
  </si>
  <si>
    <t>ANTONIO RAYMONDI</t>
  </si>
  <si>
    <t>RAQUIA</t>
  </si>
  <si>
    <t>0411397</t>
  </si>
  <si>
    <t>019392</t>
  </si>
  <si>
    <t>0597609</t>
  </si>
  <si>
    <t>86567 SAN JUAN DE PARARIN</t>
  </si>
  <si>
    <t>RECUAY</t>
  </si>
  <si>
    <t>PARARIN</t>
  </si>
  <si>
    <t>RINCONADA</t>
  </si>
  <si>
    <t>0415166</t>
  </si>
  <si>
    <t>033543</t>
  </si>
  <si>
    <t>0681478</t>
  </si>
  <si>
    <t>86974 ISABEL FLORES DE OLIVA</t>
  </si>
  <si>
    <t>SANTA ROSA</t>
  </si>
  <si>
    <t>0735720</t>
  </si>
  <si>
    <t>019617</t>
  </si>
  <si>
    <t>1102003</t>
  </si>
  <si>
    <t>Descripción</t>
  </si>
  <si>
    <t>Facilitador/a</t>
  </si>
  <si>
    <t xml:space="preserve">La comunidad de Colquioc está conformada por familias cuya dinámica cotidiana se caracteriza por una alta dedicación a actividades económicas durante extensas jornadas, lo que limita significativamente el tiempo de permanencia y acompañamiento en el hogar. Muchos padres y madres retornan a sus viviendas en horarios nocturnos, situación que dificulta la interacción y convivencia familiar debido al cansancio acumulado. Asimismo, se evidencia un elevado consumo de alcohol en la comunidad, incluyendo la presencia de establecimientos de expendio donde se reporta la venta de bebidas alcohólicas a menores de edad. 
El estilo de crianza predominante mantiene rasgos autoritarios, con presencia de amenazas y episodios de violencia entre los progenitores y hacia sus hijos e hijas. Algunos estudiantes refieren haber sido testigos de agresiones dirigidas incluso hacia mascotas, llegando en ciertos casos a su maltrato grave o muerte. 
Considerando este escenario en el que se desarrollan los adolescentes, y dadas sus expresiones de enojo y tristeza, así como las dificultades en la gestión emocional, resulta fundamental fortalecer los procesos de acompañamiento en la transición del nivel primario al secundario. Esto es especialmente relevante dado que los cambios en las metodologías de enseñanza y en las dinámicas relacionales requieren de un entorno educativo que cumpla como soporte emocional, más allá de la instrucción académica.
Y si bien, existen familias que sí estan comprometidas con la educación emocional de sus hijos e hijas, en la comunidad son la mayoría quienes necesitan establecer nuevos patrones de crianza y de responsabilidades para la entrada a la adolescencia de sus hijos e hijas.
En el ámbito educativo, se observa que la mayoría de estudiantes carece de orientación y supervisión familiar para la realización de tareas escolares. Ante dudas académicas, recurren principalmente a buscadores de internet, limitando el desarrollo de las actividades a la copia de información sin procesamiento crítico. Esto evidencia escaso fortalecimiento del pensamiento crítico y autonomía cognitiva.
En el componente socioemocional, se identifica una comprensión reducida y valorativa de las emociones, donde los estudiantes asocian estados emocionales como enojo o tristeza con juicios morales de “ser buenos” o “ser malos”. Asimismo, entre estudiantes de nivel secundario se registran interacciones violentas, tanto físicas como verbales, que incluyen insultos relacionados con la situación familiar, presencia o ausencia de figuras parentales y antecedentes de abandono.
Respecto al entorno familiar, los estudiantes manifiestan que sus cuidadores dedican una cantidad considerable de tiempo al uso del teléfono móvil, generando sentimientos de reclamo o resignación. Se observa, además, la entrega temprana de dispositivos móviles a niños pequeños. 
En cuanto a la práctica docente en el nivel secundario, existe un enfoque adultocéntrico, con escasos espacios para la reflexión estudiantil, la participación activa y la autonomía en el aprendizaje. Esta dinámica genera inseguridad en los estudiantes respecto a sus procesos creativos y reflexivos, quienes constantemente solicitan validación externa. Se evidencia baja motivación intrínseca y limitada iniciativa para la producción autónoma. La práctica pedagógica se centra en dictados extensos y copiados de contenido desde la pizarra o de páginas web, priorizando el producto final sobre el proceso de aprendizaje. El logro de tareas no suele ser reconocido ni reforzado positivamente, lo cual limita la construcción de autoestima académica.
A nivel institucional, los docentes muestran escasos intercambios emocionales con los estudiantes y se orientan hacia una perspectiva académica rígida que restringe la atención a la educación socioemocional. En espacios de reflexión, las situaciones emocionales del alumnado son atribuidas mayormente al entorno familiar, sin procesos significativos de autorreflexión respecto al rol docente en la formación integral.
</t>
  </si>
  <si>
    <t>Delgado Ciriaco de Padilla 
Carmen Rosa</t>
  </si>
  <si>
    <t>El Proyecto Mente Sana Huarmey se desarrolló en el territorio de Huarmey, en la región Áncash, específicamente en dos comunidades: Puerto Huarmey y 09 de Octubre. En estas localidades, la intervención se llevó a cabo en las instituciones educativas Industrial Piloto Miguel Grau y 88059, respectivamente. En ambas escuelas se encontró una disposición favorable hacia la implementación del proyecto y un reconocimiento de la importancia de fortalecer las habilidades CASEL en la comunidad educativa. No obstante, tanto directivos como docentes manifestaron que consideraban más beneficiosas las intervenciones de tipo individual y terapéutica, centradas en las necesidades particulares de cada estudiante que las intervenciones colectivas. Asimismo, se identificó una limitada disponibilidad de tiempo por parte de los actores educativos (docentes y familias) debido a sus  responsabilidades laborales y personales, lo cual generó ciertos desafíos para la participación sostenida en las sesiones grupales del proyecto. 
Docentes
Muestran adecuado conocimiento teórico sobre las habilidades CASEL; sin embargo, la aplicación práctica de estas habilidades está en proceso. Predomina la creencia de que la intervención psicológica individual genera mayores beneficios que las intervenciones colectivas de carácter preventivo. Asimismo, existe una alta demanda de acompañamiento psicológico para el fortalecimiento del bienestar, aunque con baja disponibilidad de tiempo para participar en sesiones que ayuden a tal fin. De manera general, se identificó un mayor nivel de compromiso en la IE 88059, en comparación con la IE Piloto Industrial Miguel Grau, aunque esta diferencia no es marcada. ○ Padres de familia Reconocen la importancia del desarrollo de habilidades CASEL en la comunidad educativa; no obstante, la asistencia a las sesiones convocadas es reducida por la limitada disponibilidad de tiempo que presentan. ○ Estudiantes Se observó que la creencia inicial sobre el rol del psicólogo y las sesiones consistían en un espacio dirigido a actividades recreativas o al aprendizaje académico, como lectura, matemáticas o idiomas. Es el grupo poblacional con una alta apertura y disposición para participar en el desarrollo de las sesiones planificadas.</t>
  </si>
  <si>
    <t>Quispe Sosa Lisbeth</t>
  </si>
  <si>
    <t xml:space="preserve">La intervención se realizó con tres grupos poblacionales: estudiantes entre 8 y 12 años de edad, sus familias o cuidadores primarios y sus maestros. Asimismo, se desarrollaron actividades en cuatro instituciones educativas ubicadas en la provincia de Huari. Dos de estas instituciones pertenecen al distrito de Huachis, específicamente en las comunidades campesinas de Ayash Pichiú y Ayash Huaripampa; mientras que las otras dos se encuentran en el distrito de San Pedro de Chaná, en las comunidades campesinas de Santa Cruz de Pichiú y de Vistoso.
Dichas comunidades pertenecen al ámbito rural y se caracterizan por una economía basada principalmente en la agricultura, actividades de autoabastecimiento y trabajos vinculados a la actividad minera. En este último caso, muchos padres de familia son contratados por las empresa minera de la zona, lo que implica jornadas laborales extensas y, en algunos casos, períodos de ausencia temporal del hogar.
Asimismo, el acceso a servicios básicos es limitado. Respecto a la energía eléctrica y el agua potable, existen cortes recurrentes de ambos servicios, mientras que la última contiene pequeñas partículas blancas en suspensión. En cuanto a la gestión de residuos sólidos, se cuenta en la comunidades con sistemas de recolección cada 15 días, lo que causa la acumulación de residuos en hogares y centros educativos. En relación a las vías de acceso,  se cuenta con caminos pavimentados en ciertos tramos de las carreteras; sin embargo, en mayoría, no se cuentan con estos. 
En cuanto a los servicios de salud, las comunidades cuentan con un Centro de Atención Primaria, el cual brinda servicios básicos de salud como controles, vacunación y atención de casos leves. Para emergencias o patologías de mayor complejidad la  familias deben trasladarse a establecimientos de niveles superiores
Finalmente, respecto a los servicios educativos, los colegios en los que se llevó a cabo la intervención son instituciones educativas integradas, a excepción de la institución educativa de Santa Cruz de Pcihiú, la cual cuenta solo con nivel primario. Así mismo, todos los colegios, a excepción del colegio de la Comunidad de Vistoso, son instituciones con salones multigrado. 
 En cuanto a la costumbres y tradiciones del lugar, es importante señalar que en las comunidades de Vistoso y Santa Cruz de Pichiú existe una marcada presencia de la religión evangélica, mientras que en las comunidades del distrito de Huachis (Ayash Pichiú y Ayash Huaripampa) la presencia de la religión es menor. 
Asimismo, se observa una división tradicional de roles de género. La mayoría de mujeres de las comunidades asume principalmente las labores domésticas y de cuidado, mientras que los hombres suelen desempeñar actividades productivas fuera del hogar y participan en mayor medida en la vida comunitaria.
En cuanto a las habilidades CASEL, la población muestra expresiones concretas en su vida cotidiana. Respecto a la autoconciencia y autogestión, se observan conductas y estrategias de regulación emocional vinculadas a la cultura y el entorno, tales como el tejido y caminar por el campo. Asimismo, existen estrategias basadas en el control de la respiración, tales como respiración profunda, respiración diafragmática, entre otras. 
En relación a la conciencia social, se observó una fuerte cultura de reciprocidad y apoyo mutuo. En ese sentido, las personas brindan ayuda con la expectativa de cooperación futura, lo que constituye una manifestación de conductas prosociales basadas en la interdependencia. Esta lógica se complementa con la presencia constante del trabajo comunitario o faenas, tanto para actividades comunales como para acciones vinculadas a la institución educativa, tales como jornadas colectivas de mantenimiento y reparación del colegio. Asimismo, es frecuente que las madres de familia se organicen para cocinar de manera comunitaria en diversas actividades, lo que refuerza los lazos de colaboración y corresponsabilidad, el sentido de pertenencia, la aprehensión de normas sociales y el reconocimiento de los apoyos disponibles.
En relación con las Habilidades Relacionales, como se señaló líneas previas, las dinámicas comunitarias favorecen conductas prosociales. Sin embargo, se observa una limitada apertura para comunicar de forma asertiva frente a problemáticas o desacuerdos. A nivel individual, esta dificultad se traduce con frecuencia en estrategias de afrontamiento centradas en la evitación, mientras que, en el ámbito comunitario, la ausencia de estrategias de comunicación asertiva puede generar que ciertos conflictos escalen rápidamente.
Finalmente, la toma de decisiones responsables se observó que las decisiones suelen adoptarse de manera colectiva a través de asambleas o reuniones comunales. Este proceso evidencia una evaluación conjunta de las necesidades del entorno y del bienestar del grupo, elementos centrales de una toma de decisiones responsable. Las personas consideran las consecuencias de las acciones sobre el colectivo, priorizando el bien común y la sostenibilidad de las actividades comunitarias, especialmente en temas vinculados a la organización de faenas, el mantenimiento del colegio o la gestión de recursos comunales.
Estudiantes:  la población estudiantil estuvo conformada por niñas y niños de 8 a 12 años pertenecientes a los grados de 3.°, 4.°, 5.° y 6.° de primaria, incluyendo aulas multigrado en algunos casos. En términos generales, los estudiantes presentan brechas entre su nivel actual de lectoescritura y el nivel esperado para su etapa de desarrollo.  Asimismo, se observan dificultades en la autorregulación del aprendizaje, como mantener la atención sostenida, planificar tareas o finalizar actividades sin acompañamiento constante. En el caso de aulas multigrado, se observa heterogeneidad significativa en los niveles de desempeño, lo que genera desafíos para el avance simultáneo de los aprendizajes.
Provienen mayoritariamente de hogares de tradición religiosa evangélica y de familias numerosas, donde los roles de cuidado de hermanos menores recaen con frecuencia sobre ellos. Asimismo, muestran una fuerte vinculación con actividades deportivas, lo cual constituye un espacio significativo de socialización y cohesión. Las familias, también suelen involucrarse en dichos espacios, no obstante, el acompañamiento familiar a los procesos de aprendizaje es limitado. 
Familias:  Los y las cuidadores primarias se encuentran, principalmente, en un rango de edad entre los 20 y 40 años, aunque también es frecuente que abuelos y abuelas asuman dicho rol. El rol parental se suele priorizar el cumplimiento de normas y responsabilidades domésticas, más que el acompañamiento académico o socioemocional. El involucramiento en los procesos educativos suele ser bajo, posiblemente debido a la escasa disponibilidad de tiempo y al nivel educativo alcanzado por los cuidadores. 
Las pautas de crianza se enmarcan en un estilo mixto. Dichas pautas se articulan con valores comunitarios y religiosos que orientan la convivencia. Al inicio del proyecto se evidenció un limitado desarrollo en la identificación y expresión emocional, así como estrategias de afrontamiento centradas en la evitación. Las responsabilidades de cuidado recaen principalmente en las madres. Por su parte, los padres suelen desempeñarse en actividades agrícolas o vinculadas a la minería, lo que deriva en jornadas extensas y una presencia intermitente en la dinámica de crianza.
La comunidad opera como una red de apoyo extendida, en la que tíos, hermanos mayores y vecinos asumen funciones de supervisión o acompañamiento.
Docentes: El equipo docente con el que se trabajó estuvo conformado por Peps y docentes de Ugel. En general, la presente población se caracterizó por una alta disposición para participar en actividades institucionales y por mantener un compromiso sostenido con el bienestar de sus estudiantes. Sin embargo, muchos docentes expresan que enfrentan desafíos para involucrar a las familias en procesos pedagógicos o de sensibilización, lo que incrementa la demanda sobre ellos en temas socioemocionales. Asimismo, refirieron dificultad para gestionar determinadas conductas de sus estudiantes. A nivel general, muestran interés en fortalecer sus habilidades para abordar emociones, gestionar situaciones difíciles en el aula y promover una comunicación más efectiva con los cuidadores.
</t>
  </si>
  <si>
    <t>Amira Gómez Carrasco</t>
  </si>
  <si>
    <t xml:space="preserve">La implementación del proyecto se desarrolló en dos comunidades rurales del departamento de Áncash: Huancayoc y Tambo, donde se ubican las instituciones educativas N.° 86843 – Huancayoc (primaria) y N.° 86901 – San Cristóbal de Tambo (primaria).
Estas comunidades presentan características típicas de zonas altoandinas: dispersión geográfica, condiciones de conectividad limitadas, y una economía predominantemente minera. La vida cotidiana está marcada por tradiciones culturales y un acceso reducido a servicios especializados, entre ellos los de atención psicológica.
En el ámbito escolar, se evidencia que los estudiantes mantienen patrones de interacción basados en juegos bruscos, que con frecuencia escalan a formas de agresión física o verbal. Asimismo, se observa una limitada gestión emocional, especialmente en la expresión adecuada de la frustración, el enojo y la resolución pacífica de conflictos. A nivel intelectual también se observa que algunos estudiantes tienen dificultades con la lectura o la escritura.
La propuesta CASEL comprende cinco habilidades: autoconciencia, autorregulación, conciencia social, habilidades relacionales y toma de decisiones responsables. Se observo cómo estas se expresan en el comportamiento de estudiantes, docentes y familias.
En los estudiantes se observan dificultades para reconocer y diferenciar sus emociones, lo que se refleja en respuestas impulsivas durante juegos y situaciones de conflicto, donde recurren a empujones, bromas pesadas o conductas agresivas. La convivencia se ve afectada por la falta de estrategias para conciliar, pedir ayuda o resolver desacuerdos; si bien existe solidaridad entre pares, esta se manifiesta de forma espontánea y sin estructura. Asimismo, la toma de decisiones es predominantemente inmediata y guiada por la emoción del momento, sin anticipación de consecuencias.
Los docentes muestran disposición para trabajar sus habilidades emocionales y reconocen limitaciones en el manejo del estrés y los conflictos escolares. Mantienen un vínculo cercano con los estudiantes, aunque expresan la necesidad de contar con estrategias concretas de modificación de conducta y herramientas prácticas para afrontar situaciones disruptivas. Sus decisiones pedagógicas se orientan principalmente al mantenimiento del orden y al cumplimiento curricular, dejando en segundo plano la promoción sistemática de habilidades socioemocionales.
En los padres y madres se aprecia un bajo reconocimiento de sus estados emocionales y de cómo estos influyen en la crianza. Se evidencia además una baja asistencia a los talleres psicoeducativos, pese a su participación en reuniones convocadas por los docentes, lo que se relaciona con creencias como “¿para qué ir al psicólogo?, no sirve”, reflejando una brecha cultural respecto a la salud mental. Las decisiones de crianza se basan mayormente en prácticas tradicionales o modelos aprendidos, más que en estrategias formativas o de acompañamiento emocional.
Se debe trabajar en los estudiantes, habilidades socioemocionales que faciliten la gestión de emociones en el juego y los conflictos, la promoción de conductas prosociales, el desarrollo de habilidades relacionales respetuosas y la toma de decisiones responsables, especialmente ante situaciones de riesgo o presión de pares durante la transición a secundaria. En los docentes, se requiere implementar estrategias de modificación de conducta adaptadas al contexto rural, así como herramientas y metodologías que integren el clima emocional con el aprendizaje académico. Finalmente, en los padres y madres se identifica la necesidad de concientización sobre su rol en el desarrollo socioemocional, la superación de creencias negativas sobre la psicología, la participación en talleres psicoeducativos y el fortalecimiento de habilidades parentales relacionadas con la crianza respetuosa y el acompañamiento emocional. La baja participación familiar constituye una brecha crítica para la transición educativa, por lo que debe ser priorizada en futuras intervenciones.
El público objetivo de la intervención estuvo conformado por los estudiantes de 4.º, 5.º y 6.º grado de primaria, sus docentes y los padres y madres de ambas instituciones educativas. En el caso de los estudiantes donde suelen participar en juegos de alta intensidad física que con frecuencia derivan en empujones, peleas o bromas pesadas, expresiones que reflejan tanto su dinámica cotidiana como las limitaciones en la gestión emocional. Aunque muestran rasgos de compañerismo y solidaridad, estas manifestaciones suelen ser espontáneas y poco estructuradas, lo que evidencia la necesidad de fortalecer habilidades relacionales y socioemocionales básicas.
Los docentes, por su parte, se caracterizan por mantener un vínculo cercano con sus estudiantes, además su compromiso y disposición para capacitarse constituyen un factor clave para el desarrollo de la intervención.
En cuanto a las familias, se identificó una participación desigual en actividades escolares. Si bien los padres y madres suelen asistir a reuniones convocadas por los docentes, la participación disminuye significativamente cuando se trata de talleres psicoeducativos. En la institución educativa de Huancayoc, por ejemplo, la asistencia de los padres fue menor al 50%, debido a creencias arraigadas que restan valor a la psicología y a la educación socioemocional, expresadas en frases como “¿para qué ir al psicólogo?, no sirve”. De forma similar, en el colegio San Cristóbal de Tambo se observó baja participación durante el primer taller, aunque algunos padres mostraron mayor apertura en sesiones posteriores. 
En términos comunitarios, se evidencian dinámicas familiares en las que las responsabilidades laborales limitan el tiempo disponible para acompañar los aprendizajes de los hijos. Asimismo, se registran episodios de juegos bruscos entre estudiantes y, en menor medida, tensiones familiares relacionadas con estilos de crianza autoritarios, aunque no se reportaron casos graves de violencia durante el periodo de intervención.
</t>
  </si>
  <si>
    <t>Machaca Atamasi Jorge Luis</t>
  </si>
  <si>
    <t xml:space="preserve">La población atendida en Valle Fortaleza (zona alta) que fue comprendida por los centros poblados de: Raquia, Cajacay y Santa Rosa. Las familias se dedican principalmente a la agricultura y ganadería, de condición socioeconómica D y E. En las comunidades, tienen costumbres tradicionales arraigadas, celebran con fervor cada aniversario de la comunidad o la conmemoración de un santo o virgen; a nivel socioemocional, se evidencian algunos casos de violencia intrafamiliar, consumo de alcohol, abandono por parte de los padres de familia, lenguaje agresivo imperante; las familias no están, en su mayoría, comprometidas en el seguimiento a las actividades académicas, debido a varios factores (trabajo, estudios incompletos, etc.) y escasa concientización en prácticas de convivencia saludable. 
Los docentes en su mayoría radican fuera de la comunidad, en tal sentido, los fines de semana viajan a sus domicilios. A nivel institucional, los docentes no
En cuanto a los estudiantes, el 60% aprox. habita a menos de 3 kilómetros, por lo que no requiere un medio de transporte para acudir al colegio. El resto si requiere de un medio de transporte para movilizarse. En Raquia y Santa Rosa, los estudiantes cuentan con la atención de Wasi Mikuna, pero en Cajacay no, puesto que entregan los productos a cada familia. 
Finalmente, se pudo dar un alcance del 90% en estudiantes, 80% de alcance con los docentes, 70% en familias y 0% en autoridades locales.
</t>
  </si>
  <si>
    <t xml:space="preserve">Farfan Pacheco Yhon
Williams
</t>
  </si>
  <si>
    <t>Estudiantes alcanzados</t>
  </si>
  <si>
    <t>Docentes alcanzados</t>
  </si>
  <si>
    <t>Familias alcanzadas*</t>
  </si>
  <si>
    <t>20260</t>
  </si>
  <si>
    <t>CONSOLIDADO DEL ALCANCE</t>
  </si>
  <si>
    <t>Familias alcanzadas</t>
  </si>
  <si>
    <t>MARAVIA</t>
  </si>
  <si>
    <t>86596 VIRGEN INMACULADA CONCEPCIÓN</t>
  </si>
  <si>
    <t>Primaria Secundaria</t>
  </si>
  <si>
    <t>CHIQUIAN</t>
  </si>
  <si>
    <t>86221 SAN AGUSTÍN</t>
  </si>
  <si>
    <t>0174271</t>
  </si>
  <si>
    <t>INDUSTRIAL PILOTO 
MIGUEL GRAU</t>
  </si>
  <si>
    <t>Fase de arranque</t>
  </si>
  <si>
    <t>Facilitador/aAcciones clave (estrategias de intervención)</t>
  </si>
  <si>
    <t>Participación de actores clave</t>
  </si>
  <si>
    <t xml:space="preserve">La primera visita para la presentación del Proyecto Mente Sana fue al director de la Institución Educativa N.° 20851 – Llampa, ocasión en la cual también se establecieron los horarios de trabajo con estudiantes y docentes. En dicha reunión, el director manifestó la necesidad de ampliar la atención psicológica a la totalidad de estudiantes del nivel primario, debido a la presencia de diversas situaciones que requerían acompañamiento especializado.
En la Institución Educativa N.° 86567 – San Juan de Pararín, los docentes completaron las encuestas correspondientes. La directora solicitó una mayor permanencia de la profesional responsable del área psicológica, con el fin de brindar atención continua a los estudiantes de ambos niveles.
En la Institución Educativa N.° 20850 – Mariscal Cáceres, el director requirió la presentación de un Plan de Trabajo detallado, alineado con las competencias y capacidades establecidas en el Currículo Nacional de Educación Básica (CNEB) del Ministerio de Educación.
Y en la I.E. N.° 20260 – Colca, el director extendió la invitación para presentar el Proyecto durante la reunión con las familias de los estudiantes.
Durante la fase de presentación del Proyecto se identificó cierta resistencia por parte de algunos directivos para incorporar las actividades propuestas, argumentando que su Plan de Trabajo anual había sido elaborado al inicio del año escolar, lo que dificultaba la inclusión de nuevas acciones. No obstante, se logró coordinar la programación de los talleres dentro de los horarios de tutoría. En el caso de la I.E. Mariscal Cáceres, el director dispuso que dicha coordinación se realice directamente con los docentes.
Previo al proceso de medición, se efectuó la adaptación contextual de los instrumentos con el propósito de asegurar su comprensión y pertinencia. Las mediciones iniciales se realizaron el primer día de ingreso al aula, según lo acordado con los docentes y directivos. Se distribuyeron las fichas individualmente y se explicó la estructura de la evaluación y la dinámica de llenado. Ante las dificultades de comprensión observadas en algunos estudiantes, se procedió al llenado colectivo y guiado de los encabezados.
Durante las sesiones de medición, los estudiantes expresaron diversas consultas vinculadas al sentido de las preguntas y a ciertos términos utilizados (por ejemplo, “talleres”). Estas dudas fueron absueltas por los facilitadores. Sin embargo, durante el vaciado de información se evidenciaron vacíos de comprensión en algunas respuestas.
Las acciones posteriores a la medición incluyeron la contextualización del Módulo I, basada en las observaciones y experiencias recogidas, así como la planificación de ajustes para los Módulos II y III.
Un aspecto destacable del proceso de medición fue que permitió a los estudiantes reflexionar sobre conceptos y situaciones que antes no habían considerado. Este primer acercamiento favoreció que, al inicio de las actividades, mostraran mayor disposición e identificaran términos y procesos relacionados con el autoconocimiento. Asimismo, se aprovechó este espacio para resaltar la importancia de construir una opinión propia y reconocer que los procesos internos varían entre personas. Este ejercicio también les permitió identificar que, en ocasiones, se reproducen ideas o frases sobre las emociones sin comprender plenamente su significado.
Respecto al proceso de medición con el grupo de docentes, este se extendió más de lo previsto debido a la resistencia manifestada por algunos de ellos y a la demora en la devolución de los instrumentos por parte de otros. En consecuencia, el proceso se prolongó por un periodo aproximado de dos semanas.
En el caso de las familias, se presentaron dificultades significativas para el llenado de las fichas, lo que hizo necesario realizar el proceso de manera individual en la mayoría de casos, debido al bajo nivel de comprensión lectora y al desconocimiento del sentido de algunas frases y términos incluidos en los instrumentos. En las I.E. N° 20850 – Mariscal Cáceres y N° 86567 – San Juan de Pararín, las fichas fueron enviadas a los hogares de los estudiantes con la indicación de completarlas. Sin embargo, esta modalidad generó complicaciones adicionales: algunas fichas resultaron ininteligibles, otras fueron llenadas por los propios estudiantes, algunas mostraban indicios de haber sido completadas mediante el uso de herramientas de inteligencia artificial y un número considerable no fue devuelto.
</t>
  </si>
  <si>
    <t xml:space="preserve">Para el cumplimiento de los objetivos previstos, fue necesario implementar diversas estrategias de ajuste, modificar algunas propuestas iniciales y desistir de aquellas cuya ejecución no resultó viable en el contexto institucional.
Intervención con estudiantes
Con el grupo de estudiantes se desarrollaron los talleres planificados, en su mayoría durante las horas de Tutoría. En los casos en que las sesiones fueron suspendidas por eventos institucionales, estas pudieron reprogramarse en coordinación con los docentes responsables. En el nivel primario, dos de los tres docentes reorganizaron su jornada académica a fin de evitar superposiciones horarias y garantizar la adecuada implementación de las sesiones.
Intervención con docentes
Con el grupo docente se establecieron horarios de capacitación posteriores a su jornada laboral. La mayoría de los docentes asistió y mostró disposición participativa. Algunas sesiones requirieron reprogramación, proceso que se realizó en consulta y acuerdo con los participantes. No se incorporó a docentes adicionales, permaneciendo únicamente los tutores de los grados contemplados en la intervención.
En el caso de la I.E. N.° 86567 – San Juan de Pararín, solo se logró ejecutar uno de los tres talleres programados, debido a la resistencia del profesorado a permanecer en la institución fuera del horario laboral, argumentando residir en zonas alejadas o contar con actividades previamente planificadas. El único taller realizado se llevó a cabo en horario lectivo, en el marco de las actividades por el aniversario institucional.
Intervención con familias
Las familias de las I.E. N.° 20260 – Colca y N.° 20851 – Llampa participaron en la totalidad de las sesiones programadas. Dichas convocatorias fueron gestionadas por los directores, quienes destacaron la importancia de su involucramiento para fortalecer el desarrollo socioemocional de sus hijos e hijas.
En la I.E. N.° 86567 – San Juan de Pararín, la intervención inicialmente planificada no pudo ejecutarse debido a la falta de asistencia a la convocatoria realizada por la dirección. En consecuencia, la estrategia se reformuló, optando por sesiones informativas breves durante la entrega de libretas del tercer bimestre, abordando temas como estilos de crianza y educación socioemocional.
En la I.E. N.° 20850 – Mariscal Cáceres, la participación familiar se efectuó a través de charlas incluidas en las reuniones de aula convocadas por los docentes tutores. Se realizó un primer intento de convocar a todas las familias de los niveles primario y secundario; sin embargo, no se contó con el respaldo del director para informar oportunamente a los padres y madres. Como resultado, solo asistieron tres apoderados, con quienes se llevaron a cabo conversaciones individuales sobre la situación socioemocional de sus hijos.
Algunos docentes tutores, particularmente de 5°A y 6° del nivel primario, coordinaron la participación de la psicóloga del Proyecto en sus reuniones de aula. Estas intervenciones tuvieron una duración aproximada de 30 minutos y se realizaron en tres oportunidades a lo largo del proyecto.
En el nivel secundario, se solicitó participación en la reunión convocada por la docente del área de Comunicación; no obstante, solo se otorgaron quince minutos y la docente, a pesar de aceptar días atrás, manifestó incomodidad al momento de la intervención, aduciendo que necesitaría más tiempo para su charla. En esta reunión la docente tutora de 1° de secundaria sección A permaneció únicamente durante su propia exposición y no acompañó la charla dirigida por la psicóloga. Por su parte, el docente tutor de 1° de secundaria sección B no asistió a la reunión. 
Ante la escasa disposición evidenciada por los docentes tutores en esta IE, se decidió suspender la participación en reuniones de aula y se comunicó la situación a la dirección institucional.
</t>
  </si>
  <si>
    <t xml:space="preserve">Los directores de algunas Instituciones Educativas desempeñaron un rol fundamental en la convocatoria y organización de las familias que participaron en los talleres del Proyecto Mente Sana. 
De otro lado y considerando la naturaleza de las situaciones identificadas en algunas instituciones, se evaluó la pertinencia de articular acciones con el Centro de Salud, con el propósito de facilitar la atención psicológica a las familias. 
No obstante, esta coordinación no pudo concretarse debido a la incompatibilidad de horarios, la carga de actividades del personal de salud y el limitado tiempo disponible para la planificación conjunta. 
En las demás comunidades intervenidas no se contaba con un Centro de Salud, por lo que se orientó a las familias a acudir por iniciativa propia al establecimiento más cercano (Chasquitambo) y solicitar atención psicológica para ellas y para sus hijos e hijas.
</t>
  </si>
  <si>
    <t xml:space="preserve">Para la aplicación de Mente Sana, se inició con la presentación del proyecto el 27/06 en la IE Industrial Piloto Miguel Grau y el 30/06 en la IE 88059, donde se explicaron los objetivos y se recogieron las características de la comunidad educativa. Asimismo, se realizaron las coordinaciones para la aplicación del pretest y el inicio de las sesiones. En la IE Piloto Industrial Miguel Grau, el pretest se aplicó el 02/07 a los estudiantes, el 16/07 a los padres de familia y el 18/07 a las docentes. Mientras que, en la IE 88059, el pretest se realizó el 10/07, el 17/07 a los docentes y el 26/08 a los padres de familia. 
En la IE Industrial Piloto Miguel Grau, los resultados del pretest señalan lo siguiente: 
En relación con los estudiantes: 
Destacan en habilidades relacionales y autocontrol, pero presentan retos importantes en autoconciencia y toma de decisiones responsables. 
En relación con los docentes: 
Presentan habilidades CASEL fortalecidas, con predominio en la toma de decisiones. 
En relación con los padres de familia: 
Muestran desarrolladas las habilidades de autoconciencia emocional, autorregulación y toma de decisiones, mientras que requieren fortalecimiento en habilidades para relacionarse. 
| Una coalición por una educación trascendente 
7
Nota: La participación inicial de familias y docentes corresponde a una muestra reducida; por lo tanto, sus resultados reflejan únicamente las habilidades socioemocionales de los evaluados. 
En la IE 88059, los resultados del pretest señalan lo siguiente: 
En relación con los estudiantes: 
Los resultados reflejan como fortaleza las habilidades de autocontrol y las habilidades relacionales, y como habilidades en proceso la autoconciencia, la conciencia social y la toma de decisiones. 
En relación con los docentes: 
Se observa desarrolladas las habilidades CASEL, lo que indica que cuentan con recursos socioemocionales. 
En relación con los padres de familia: 
Las familias evaluadas muestran un adecuado desarrollo de las habilidades CASEL, con énfasis en las habilidades relacionales. 
Nota: La participación inicial de familias corresponde a una muestra reducida; por lo tanto, sus resultados reflejan únicamente las habilidades socioemocionales de las familias evaluadas. 
</t>
  </si>
  <si>
    <t xml:space="preserve">- Recordatorio de las normas de convivencia 
Se evidenció que el recordatorio constante de las normas favorece la disciplina y la organización del grupo. Los estudiantes respondieron de manera positiva a estas pautas, mostrando mayor atención y reduciendo interrupciones. Este recurso, aunque requiere de constancia, resulta clave para sostener un clima adecuado de trabajo y aprendizaje. 
- Propuesta práctica, dinámica y vivencial 
Se observó que las actividades diseñadas con un enfoque activo y participativo generaron mayor motivación e interés en los 
estudiantes. La vivencia directa de los contenidos permitió una mejor comprensión y un involucramiento más profundo. Este tipo de propuestas se constituye como un recurso pedagógico eficaz que conviene mantener en los próximos módulos. 
- Adaptación de los conceptos a estudiantes de 3.º y 4.º grado} Dado que el taller fue diseñado inicialmente para niveles superiores, fue necesario realizar ajustes metodológicos, como el uso de ejemplos más concretos y actividades simplificadas. Este reto fue abordado de manera positiva, logrando que los estudiantes más pequeños pudieran comprender y participar activamente en las dinámicas propuestas. 
- Convocatoria a reuniones a padres de familia 
Para incrementar la asistencia de padres de familia, se coordinó con los docentes a fin de identificar las próximas reuniones programadas. y articular las sesiones del proyecto con las reuniones del colegio. - Convocatorias a reuniones con docentes 
Se identificó a los docentes líderes en cada institución para que ellos fueran nuestros aliados y así asegurar la participación de todos los docentes. 
- Síntesis de contenido de las sesiones con docentes y padres de familia. 
En varias sesiones se identificó que el contenido inicial era extenso en comparación con el tiempo disponible. Esto dificultaba culminar todas las actividades previstas. Para solucionar este reto, se reorganizó la estructura de las sesiones, priorizando los contenidos esenciales y utilizando materiales más ágiles y concretos. 
</t>
  </si>
  <si>
    <t xml:space="preserve">Los actores clave fueron los docentes que lideran dentro de cada institución. En la IE Piloto Industrial Miguel Grau era la docente Gladys Bazalar quien era responsable de Convivencia escolar y en la IE 88059 fue el docente Claudio De la Cruz quien era el PEP. Identificarlos fue importante para poder coordinar, programar sesiones y asegurar la participación de los demás docentes. 
</t>
  </si>
  <si>
    <t xml:space="preserve">“El proceso inició con visitas presenciales a las instituciones educativas, durante las cuales se brindó información detallada sobre los objetivos del proyecto, su enfoque y la metodología propuesta, además de gestionar la firma de los documentos requeridos para la intervención. Posteriormente, se desarrolló la fase de diagnóstico mediante la aplicación de herramientas cuantitativas y cualitativas en sesiones presenciales programadas exclusivamente para este fin. Para garantizar la accesibilidad, los instrumentos fueron adaptados a las características de la población. Durante la evaluación se identificaron dificultades vinculadas a la comprensión de algunas preguntas de la entrevista, así como a los diferentes niveles de desarrollo de las habilidades de lectoescritura, lo que prolongó el tiempo previsto para la aplicación. No obstante, el proceso también contó con importantes facilidades, entre ellas la predisposición de las instituciones educativas y las facilidades otorgadas por los docentes para coordinar horarios, espacios y participación. Estos elementos permitieron llevar a cabo la evaluación de manera satisfactoria, pese a los desafíos mencionados.”
</t>
  </si>
  <si>
    <t xml:space="preserve">Para el cumplimiento de los objetivos planteados, se empleó un conjunto de metodologías basadas en las distintas etapas de la intervención.
Estrategias de apalancamiento para la convocatoria y participación
 Se aplicó una estrategia basada en el apalancamiento de espacios institucionales existentes, tales como reuniones de APAFA y jornadas de entrega de libretas. Esta acción permitió optimizar recursos, incrementar el alcance y asegurar una mayor participación de las familias y docentes mediante touchpoints de alta concurrencia.
Diseño instruccional adaptativo
 Para la fase de implementación se rediseñaron las sesiones con base en la estructura y metodología del  modelo de diseño instruccional. Asimismo, se contextualizaron las sesiones considerando la pertinencia cultural y las habilidades desarrolladas para cada grupo etario. También se consideraron las condiciones físicas de los espacios y limitaciones de infraestructura. Este enfoque se sustentó en principios de diseño  universal del aprendizaje y adecuación al ritmo de aprendizaje.
Metodologías lúdicas y vivenciales
Se priorizó el uso de actividades lúdicas, vivenciales y participativas, coherentes con enfoques de aprendizaje experiencial y con los principios de la educación socioemocional. Estas estrategias favorecieron la internalización de conceptos abstractos mediante experiencias concretas, promoviendo la motivación intrínseca y el involucramiento activo.
Técnicas de improvisación, clown y teatro
Como parte del enfoque psicopedagógico orientado al desarrollo socioemocional, se incorporaron técnicas provenientes de la improvisación teatral y el clown, que facilitaron la expresión emocional, la construcción de confianza interpersonal y el desarrollo de habilidades interpersonales como la escucha activa, la empatía y la autorregulación emocional. Estas dinámicas funcionaron como intervenciones de activación para obtener la atención, disminuir barreras comunicativas y fortalecer la cohesión grupal.
</t>
  </si>
  <si>
    <t>Directores 
Los directores cumplieron un rol fundamental de gestión y promoción. De esta manera,  facilitaron los espacios físicos necesarios para la ejecución de las actividades. Asimismo, promovieron la participación, principalmente de docentes, mediante mensajes y recordatorios enviados a través de los grupos institucionales de WhatsApp.
En el caso de la Institución Educativa de Santa Cruz de Pichiú, la presencia del director durante los talleres fortaleció la legitimidad del proceso, incrementó la confianza de los y reforzó la importancia del proyecto dentro de la comunidad educativa.
APAFA (Asociación de Padres de Familia)
 La APAFA actuó como un actor clave en la articulación con las familias, brindando espacios dentro de sus reuniones para presentar el proyecto, socializar los objetivos e implementar algunas sesiones. Su participación permitió acceder a momentos de alta asistencia de padres y madres, optimizando la difusión, fortaleciendo el compromiso comunitario y asegurando la participación informada de los cuidadores.
Madres de familia en las actividades de clausura
 Durante la fase final del proyecto, las madres de familia tuvieron un rol central en las actividades de clausura. Así participaron activamente en los espacios y actividades de cierre. Su involucramiento permitió evaluar la pertinencia de las estrategias implementadas desde la perspectiva de los cuidadores, reforzar la apropiación comunitaria y visibilizar los resultados alcanzados. Además, su presencia contribuyó a consolidar una red de apoyo entre familias, elemento clave para la sostenibilidad de los aprendizajes socioeducativos.</t>
  </si>
  <si>
    <t xml:space="preserve">Las actividades en el colegio de Huancayoc iniciaron con una reunión de presentación del proyecto, convocando al director y a los docentes del nivel primario. Durante este encuentro se expuso la propuesta de intervención, se precisaron los grados con los que se trabajaría y se destacó la importancia del compromiso institucional para garantizar el desarrollo de las actividades planificadas. Como resultado, se formalizó un acuerdo entre la institución educativa y el programa. Debido a que el inicio del proyecto se vio retrasado por el cambio de profesional a cargo (psicólogo), fue necesario calendarizar y ejecutar los primeros talleres y la evaluación diagnóstica con los estudiantes en el menor tiempo posible. La disposición de los docentes para integrar las actividades en horarios de tutoría permitió realizar oportunamente el primer taller y la evaluación correspondiente.
En el caso del colegio San Cristóbal de Tambo, no se llevó a cabo una reunión de presentación inicial, dado que el proyecto ya había sido introducido previamente por la psicóloga anterior. Sin embargo, el cambio de profesional generó cierta resistencia por parte del director para retomar la implementación. Ante ello, se acordó una reunión entre el director, el coordinador de zona y el psicólogo para aclarar la situación y garantizar la continuidad del programa. Luego de dicho encuentro, se procedió a calendarizar los talleres y, dado el reducido número de estudiantes, fue posible realizar la evaluación diagnóstica sin inconvenientes.
</t>
  </si>
  <si>
    <t xml:space="preserve">1. Comunicación permanente con los docentes:
Se estableció un canal de coordinación continua con los docentes para definir fechas de talleres dirigidos a estudiantes y familias. Esta comunicación permite ajustar la intervención a los tiempos institucionales, especialmente frente a cambios de horario u otras actividades escolares.
2. Planificación articulada con la dirección:
Toda programación de sesiones se informó oportunamente al director de cada institución, cumpliendo con los protocolos de comunicación interna. En Huancayoc, la convocatoria a las familias debió realizarse únicamente a través de los canales oficiales del colegio, siguiendo las normas establecidas para las reuniones.
3. Presentación de oficios formales:
Para oficializar la intervención se presentó un oficio detallando las fechas tentativas de talleres para docentes, estudiantes y familias, asegurando transparencia y orden en la programación.
4. Monitoreo previo a las sesiones:
Se realizó un seguimiento de las fechas ya calendarizadas con un día de anticipación para evitar cruces con actividades institucionales, reuniones docentes o intervenciones de otros proyectos. 
5. Uso de videos para la reflexión y concientización:
Se emplearon recursos audiovisuales como disparadores para la reflexión socioemocional en estudiantes y como herramienta de sensibilización para las familias. Sin embargo, ante las limitaciones de conectividad en Huancayoc y Tambo, se optó por descargar los videos previamente o sustituirlos por dinámicas participativas cuando la conexión no lo permitía.
6. Talleres vivenciales y dinámicos:
Se aplicaron metodologías activas centradas en la experiencia, como juegos cooperativos, actividades de movimiento, análisis de casos y dinámicas de interacción. Estas estrategias favorecen la participación y permitieron trabajar habilidades CASEL de forma práctica.
7. Gamificación y uso de historias en estudiantes:
La incorporación de narrativas, retos y elementos lúdicos incrementó la motivación estudiantil, facilitó la comprensión de habilidades socioemocionales y promovió la repetición de conductas positivas.
8. Comunicación directa mediante WhatsApp:
Debido a la baja asistencia a talleres, se implementó un canal de comunicación más directo con los padres a través de grupos de WhatsApp, permitiendo enviar recordatorios, material psicoeducativo y mensajes motivacionales.
9. Ferias socioemocionales:
Se propuso y ejecutó la organización de ferias temáticas que integran actividades vinculadas a las competencias CASEL, fomentando la participación familiar y la visibilización de aprendizajes socioemocionales.
</t>
  </si>
  <si>
    <t xml:space="preserve">Dentro de los dos colegios se tuvo el apoyo del director con la habilitación de los espacios para la realización de los talleres, además de la comunicación con los padres y finalmente con las ferias para la concientización de la comunidad.  </t>
  </si>
  <si>
    <t xml:space="preserve">Durante la segunda mitad del mes de junio se dio el primer contacto con las instituciones educativas de San Agustín (Cajacay) e Isabel Flores de Oliva (Santa Rosa) a través de sus directores. Se brindó la explicación del objetivo y contenido del Proyecto Mente Sana. En la I.E. Luis Pardo Novoa (Raquia), el primer contacto se dilató un par de semanas debido a que la directora se encontraba de vacaciones, al retorno se brindó la socialización de la intervención socioemocional del Proyecto.
Seguidamente, se realizó la evaluación inicial para las 3 grupos priorizados: estudiantes, docentes y padres de familia. Para la aplicación de las pruebas iniciales en estudiantes no se presentaron inconvenientes, debido a que se realizaban durante los horarios de tutoría. Diferente fue el escenario para docentes: se agendó el 1er taller con docentes para la I.E. Isabel Flores de Oliva para aplicar el corte 01. Para las I.E. San Agustín y Luis Pardo Novoa se compartió un enlace de el corte inicial mediante un formulario de Google Forms, ello debido a que no presentaban en agenda una reunión docente para poder aplicarlo presencialmente.
Finalmente, para realizar el corte inicial en padres de familia se presentaron escenarios diferentes. En la I.E. Isabel Flores de Oliva, los padres de familia tienen la costumbre de reunirse un vez al mes (25 de cada mes) para desarrollar la agenda mensual programada por la Apafa, en la sesión de julio se aprovechó para realizar la medición inicial  y presentación del proyecto.
En la I.E. Luis Pardo Novoa, la directora organizó una reunión semestral para brindar un conjunto de charlas en donde participaron diferentes instituciones aliadas (PNP, psicólogos del Centro de Salud) y se aprovechó tal evento para aplicar la evaluación inicial y presentación del proyecto. 
En la I.E. San Agustín, fue complicado poder confluir en una reunión global de padres de familia, puesto que no es habitual en la institución desarrollar ese tipo de reuniones. A recomendación del director se procedió a pactar una fecha con los tutores de los grados a intervenir para desarrollar el taller 01 y conjuntamente la aplicación de la evaluación inicial.
Lo positivo de la evaluación inicial para los 3 grupos priorizados es que se percibió una recepción positiva y expectativas sobre la intervención. Un reto afrontado en la intervención es poder tener contacto y comunicación fluida con los presidentes de Apafa, puesto que no responden, en ocasiones, llamadas o mensajes. Finalmente, un punto a considerar sería que existen padres de familia que son población en situación de analfabetismo por lo que dificulta la aplicación de pruebas.
</t>
  </si>
  <si>
    <t xml:space="preserve">Los directores de las II. EE. jugaron un papel fundamental en la intervención, porque permitieron ser el cimiento para que las actividades programadas puedan contar con su aval y dar mayor relevancia a la intervención.
En Raquia, la psicóloga del Centro de Salud fue un apoyo positivo pero esporádico, se confluyó para poder desarrollar una actividad comunitaria de concientización de la prevención del suicidio.
En la comunidad de Santa Rosa, el presidente de Apafa, el señor Lenin, fue un apoyo clave para otorgar un espacio en cada reunión de Apafa programada y socializar los temas de los talleres en el grupo de WhatsApp.
</t>
  </si>
  <si>
    <t>Fecha</t>
  </si>
  <si>
    <t>N° de sesión</t>
  </si>
  <si>
    <t>Propósito y descripción</t>
  </si>
  <si>
    <t>Asistentes</t>
  </si>
  <si>
    <t>Módulo I
Sesión 1
Familias</t>
  </si>
  <si>
    <t>Trabajamos autoconciencia, automanejo y gestión de emociones, pensamientos y conductas.
Sesión para identificar y reflexionar sobre las emociones que experimentan en su rol parental, y cómo influyen en la relación con sus hijos. 
Logro: Cuidadores reciben herramientas para conocer mejor a sus hijos e interactuar de manera empática con ellos.</t>
  </si>
  <si>
    <t>15 cuidadores</t>
  </si>
  <si>
    <t>Módulo I Sesión 1
Estudiantes</t>
  </si>
  <si>
    <t>“¿Cómo me siento?”
Sesión para reconocer y validar emociones propias. Se explora la gestión del enojo.
Logro: Reconocer la naturaleza de las emociones.</t>
  </si>
  <si>
    <t>1 estudiante 5to prim
6 estudiantes 6to prim
5 estudiantes 1ro sec
2 estudiantes 2do sec</t>
  </si>
  <si>
    <t>¿Cómo me siento?”
Sesión para reconocer y validar emociones propias. Se explora la gestión del enojo.
Logro: Reconocer la naturaleza de las emociones.</t>
  </si>
  <si>
    <t>10 estudiantes 5to prim
1 docente
12 estudiantes 6to prim
1 docente</t>
  </si>
  <si>
    <t>16 estudiantes 1ro sec
17 estudiantes 2do sec
1 docente</t>
  </si>
  <si>
    <t>1 estudiante 5to prim
4 estudiantes 6to prim
1 docente</t>
  </si>
  <si>
    <t>Módulo I Sesión 1 Docentes</t>
  </si>
  <si>
    <t>¿Cómo estoy? Estrategias para autoregularse. 
Sesión para favorecer la identificación y aplicar estrategias de autorregulación emocional.
Logro: Los docentes desarrollan un registro emocional y obtienen una caja de herramientas emocionales.</t>
  </si>
  <si>
    <t>8 docentes
prim - sec</t>
  </si>
  <si>
    <t>4 docentes
primaria</t>
  </si>
  <si>
    <t>Módulo I Sesión 1
Familias</t>
  </si>
  <si>
    <t>7 madres</t>
  </si>
  <si>
    <t>Módulo I Sesión 2
Estudiantes</t>
  </si>
  <si>
    <t>¿Cómo gestiono lo que siento? Sesión para reconocer la intensidad de las emociones para gestionarlas.
Logro: Conocer cómo calmarnos y que lo que funciona para algunos puede no funcionar para otros.</t>
  </si>
  <si>
    <t>1 estudiante 5to prim
4 estudiantes 6to prim</t>
  </si>
  <si>
    <t>Módulo I
Sesión 2
Estudiantes</t>
  </si>
  <si>
    <t>1 estudiante 5to prim
5 estudiantes 6to prim
5 estudiantes 1ro sec
2 estudiantes 2do sec</t>
  </si>
  <si>
    <t>17 estudiantes 2do sec
12 estudiantes 6to prim</t>
  </si>
  <si>
    <t>Sesión 2 estudiantes</t>
  </si>
  <si>
    <t>15 estudiantes 1ro sec
9 estudiantes 5to prim</t>
  </si>
  <si>
    <t>20850 MARISCAL CÁCERES</t>
  </si>
  <si>
    <t>34 estudiantes
6to prim</t>
  </si>
  <si>
    <t>13 estudiantes
1ro B sec
21 estudiantes
5to A prim
1 docente</t>
  </si>
  <si>
    <t>17 estudiantes
5to B prim
17 estudiantes
1 docente
1ro A sec</t>
  </si>
  <si>
    <t>Estudiantes</t>
  </si>
  <si>
    <t>Refuerzo sesiones 1 y 2</t>
  </si>
  <si>
    <t>1 estudiantes 5to prim
4 estudiantes 6to prim
5 estudiantes 1ro sec
2 estudiantes 2do sec</t>
  </si>
  <si>
    <t>Módulo I
Sesión 1
Docentes</t>
  </si>
  <si>
    <t>14 docentes
primaria y secundaria</t>
  </si>
  <si>
    <t>¿Cómo gestiono lo que siento? 
Sesión para reconocer la intensidad de las emociones para gestionarlas.
Logro: Conocer cómo calmarnos y que lo que funciona para algunos puede no funcionar para otros.</t>
  </si>
  <si>
    <t>Módulo I
Sesión 1
docentes</t>
  </si>
  <si>
    <t>4 docentes</t>
  </si>
  <si>
    <t>Módulo I
Sesión 2
estudiantes</t>
  </si>
  <si>
    <t>¿Cómo gestiono lo que siento?
 Sesión para reconocer la intensidad de las emociones para gestionarlas.
Logro: Conocer cómo calmarnos y que lo que funciona para algunos puede no funcionar para otros.</t>
  </si>
  <si>
    <t>7 estudiantes
1ro B sec
20 estudiantes
5to A prim</t>
  </si>
  <si>
    <t>15 estudiantes
5to B prim
14 estudiantes
1ro A sec</t>
  </si>
  <si>
    <t>Módulo II Sesión 3
estudiantes</t>
  </si>
  <si>
    <t>Trabajamos la conciencia social
Sesión para identificar y valorar las perspectivas, emociones y necesidades de los compañeros de aula en situaciones cotidianas, fomentando la empatía y el respeto
Logro: Cada estudiante se reconoce como parte de un grupo, todos sentimos, de diferente forma pero sentimos</t>
  </si>
  <si>
    <t>1 estudiantes 5to prim
4 estudiantes 6to prim
5 estudiantes 1ro sec
1 estudiantes 2do sec</t>
  </si>
  <si>
    <t>Módulo II Sesión 2
docentes</t>
  </si>
  <si>
    <t>Escucha activa y observación
Sesión para promover la escucha activa y la observación como herramientas docentes.
Logro: Escuchar y observar para comprender mejor a mis estudiantes</t>
  </si>
  <si>
    <t>8 docentes</t>
  </si>
  <si>
    <t>9 estudiantes
5to prim
12 estudiantes
6to prim</t>
  </si>
  <si>
    <t>13 estudiantes 1ro sec
16 estudiantes 2do sec</t>
  </si>
  <si>
    <t>Módulo II Sesión 2
Familias</t>
  </si>
  <si>
    <t>Se trabaja la conciencia social en sus hijos
Sesión que brindará herramientas a los padres para que promuevan y fortalezcan los vínculos saludables con sus hijos
Logro: Reconocimiento de la adolescencia y de la comunicación con ellos de manera asertiva.</t>
  </si>
  <si>
    <t>12 cuidadores</t>
  </si>
  <si>
    <t>Módulo II Sesión 2 Docentes</t>
  </si>
  <si>
    <t>Módulo II Sesión 2 Familias</t>
  </si>
  <si>
    <t>4 cuidadores</t>
  </si>
  <si>
    <t>15 estudiantes
1ro B sec
17 estudiantes
5to A prim</t>
  </si>
  <si>
    <t>Módulo II
Sesión 4
estudiantes</t>
  </si>
  <si>
    <t>Potenciando las competencias para relacionarse saludablemente con los demás
Sesión para reforzar la comunicación asertiva, escucha activa y resolución de conflictos
Logro: Fortalecer la comunicación asertiva, escucha activa y resolución de conflictos</t>
  </si>
  <si>
    <t>1 estudiantes 5to prim
4 estudiantes 6to prim
5 estudiantes 1ro sec</t>
  </si>
  <si>
    <t>Módulo II Sesión 4
estudiantes</t>
  </si>
  <si>
    <t>10 estudiantes
5to prim
11 estudiantes
6to prim</t>
  </si>
  <si>
    <t>14 estudiantes 1ro sec
16 estudiantes 2do sec</t>
  </si>
  <si>
    <t>Módulo II Sesión 3
Estudiantes</t>
  </si>
  <si>
    <t>10 estudiantes
5to B prim
16 estudiantes
1 docente
1ro A sec</t>
  </si>
  <si>
    <t>Potenciando las competencias para relacionarse saludablemente con los demás
Sesión para reforzar la comunicación asertiva, escucha activa y resolución de conflictos
Logro: Fortalecer la comunicación asertiva, escucha activa y resolución de conflictos.</t>
  </si>
  <si>
    <t>15 estudiantes
1ro B prim
17 estudiantes
5to A prim</t>
  </si>
  <si>
    <t>6to prim 
34 estudiantes
1 docente</t>
  </si>
  <si>
    <t>Refuerzo Módulo II sesión 4 estudiantes</t>
  </si>
  <si>
    <t>16 estudiantes
1ro B prim</t>
  </si>
  <si>
    <t>Módulo II Sesión 4
Estudiantes</t>
  </si>
  <si>
    <t>6to prim
34 estudiantes 
1 docente</t>
  </si>
  <si>
    <t>Módulo I Charla con familias</t>
  </si>
  <si>
    <t>Charla sobre gestión de emociones, estilos de crianza y adolescencia.
Charla para identificar y reflexionar sobre las emociones que experimentan en su rol parental, y cómo influyen en la relación con sus hijos. 
Logro: Cuidadores reciben herramientas para conocer mejor a sus hijos e interactuar de manera empática con ellos.</t>
  </si>
  <si>
    <t>83 aprox</t>
  </si>
  <si>
    <t>Módulo III Sesión 5</t>
  </si>
  <si>
    <t>Pienso y actúo: (trabajando la toma responsable de decisiones)
Sesión para desarrollar la capacidad de analizar situaciones cotidianas de forma crítica, reflexionando sobre las consecuencias de sus decisiones a corto y a largo plazo, para fomentar la toma de decisiones responsable y consciente. 
Logro: Reconocer que las acciones tienen consecuencias a corto y largo plazo</t>
  </si>
  <si>
    <t>16 estudiantes 5to B prim
1 docente</t>
  </si>
  <si>
    <t>Módulo III Sesión 5
estudiantes</t>
  </si>
  <si>
    <t>10 estudiantes
5to prim
12 estudiantes
6to prim</t>
  </si>
  <si>
    <t>16 estudiantes 1ro sec
17 estudiantes 2do sec</t>
  </si>
  <si>
    <t>Módulo III
Sesión 5
estudiantes</t>
  </si>
  <si>
    <t>15 estudiantes 1ro A prim
21 estudiantes 5to A prim
1 docente</t>
  </si>
  <si>
    <t>Módulo III Sesión 5
Estudiantes</t>
  </si>
  <si>
    <t>Módulo III sesión 5 estudiantes</t>
  </si>
  <si>
    <t>¿Cómo gestiono lo que siento? 
Sesión para reconocer la intensidad de las emociones para gestionarlas.
Logro: Conocer cómo calmarnos, porque todos somos diferentes y lo que funciona para algunos puede no funcionar para otros.</t>
  </si>
  <si>
    <t>16 estudiantes
5to B prim
33 estudiantes
6to prim</t>
  </si>
  <si>
    <t>17 estudiantes 1ro A sec
21 estudiantes 5to A prim</t>
  </si>
  <si>
    <t>FERIA MULTIPROGRAMA</t>
  </si>
  <si>
    <t>Estudiantes 5° AyB; 
6° prim. 1° AyB sec</t>
  </si>
  <si>
    <t>Estudiantes 5°, 6° prim
Estudiantes 1° y 2° sec</t>
  </si>
  <si>
    <t>02/07/25 08/07/25</t>
  </si>
  <si>
    <t>Evaluación 1ER CORTE Estudiantes 3ERO, 4TO, 
5TO Y 6TO</t>
  </si>
  <si>
    <t>Logro: Resultados pre taller</t>
  </si>
  <si>
    <t>6TO- 20 estudiantes 5TO- 16 estudiantes 4TO- 15 estudiantes 3ERO- 13 estudiantes</t>
  </si>
  <si>
    <t>08/07/25 09/07/25 14/07/25</t>
  </si>
  <si>
    <t>Sesión 1 
Estudiantes 3ERO, 4TO, 5TO Y 6TO</t>
  </si>
  <si>
    <t>Sesión cuyo propósito fue reconocer y validar las emociones. 
Logro: Los estudiantes aprendieron a etiquetar las emociones como agradables y desagradables, además de reconocer suimportancia ya que brindan información sobre cómo nos encontramos</t>
  </si>
  <si>
    <t>6TO- 18 estudiantes 5TO- 14 estudiantes 4TO- 14 estudiantes 3ERO- 13 estudiantes</t>
  </si>
  <si>
    <t>HUARMEY 
HUARMEY</t>
  </si>
  <si>
    <t>HUARMEY HUARMEY</t>
  </si>
  <si>
    <t>PUERTO HUARMEY PUERTO HUARMEY</t>
  </si>
  <si>
    <t>INDUSTRIAL PILOTO MIGUEL GRAU 
INDUSTRIAL PILOTO MIGUEL GRAU</t>
  </si>
  <si>
    <t>15/07/25 06/08/25 25/08/25 
08/09/25 09/09/25 10/09/25 23/09/25</t>
  </si>
  <si>
    <t>Sesión 2 
Estudiantes 3ERO, 4TO, 5TO Y 6TO 
Sesión 3 
Estudiantes 3ERO, 4TO, 5TO Y 6TO</t>
  </si>
  <si>
    <t>Sesión cuyo propósito fue reconocer la intensidad de las emociones para gestionarlas. Logro: Los estudiantes aprendieron sobre el termómetro emocional y la aplicación de estrategias de gestión emocional como detenerse y respirar 
Sesión cuyo propósito fue identificar y valorar las perspectivas, emociones y necesidades de los compañeros de aula en situaciones cotidianas, fomentando la empatía y el respeto. 
Logro: Los estudiantes aprendieron sobre qué es y cómo practicar la empatía</t>
  </si>
  <si>
    <t>6TO- 18 estudiantes 5TO- 16 estudiantes 4TO- 14 estudiantes 3ERO- 12 estudiantes 
6TO- 17 estudiantes 5TO- 15 estudiantes 4TO- 13 estudiantes 3ERO- 13 estudiantes</t>
  </si>
  <si>
    <t>22/09/25 01/10/25 06/10/25</t>
  </si>
  <si>
    <t>Sesión 4 
Estudiantes 3ERO, 4TO, 5TO Y 6TO</t>
  </si>
  <si>
    <t>Sesión cuyo propósito fue reforzar la comunicación asertiva, escucha activa y resolución de conflictos 
Logro: Los estudiantes conocen y diferencianlos tipos de comunicación, así mismo, aplican la comunicación asertiva mediante la técnica del “Nemo asertivo” y escucha activa reconociendo aquello como forma de resolver conflictos y vivir en armonía</t>
  </si>
  <si>
    <t>6TO- 17 estudiantes 5TO- 10 estudiantes 4TO- 13 estudiantes 3ERO- 12 estudiantes</t>
  </si>
  <si>
    <t>28/10/25 29/10/25</t>
  </si>
  <si>
    <t>Evaluación 2DO CORTE Estudiantes 3ERO, 4TO, 
5TO Y 6TO</t>
  </si>
  <si>
    <t>Logro: Resultados en fase intermedia de ejecución de proyecto</t>
  </si>
  <si>
    <t>6TO- 20 estudiantes 5TO- 15 estudiantes 4TO- 15 estudiantes 3ERO- 12 estudiantes</t>
  </si>
  <si>
    <t>18/11/25 
19/11/25</t>
  </si>
  <si>
    <t>Sesión 5 
Estudiantes 3ERO, 4TO, 5TO Y 6TO</t>
  </si>
  <si>
    <t>Sesión cuyo propósito fue fomentar la toma dedecisiones basadas en el análisis de las consecuencias 
Logro: Los estudiantes aprendieron sobre la estrategia 1,2 y 3 de las toma de decisiones como estrategia para decidir entre la correcto y lo que quiero</t>
  </si>
  <si>
    <t>Evaluación 3ER CORTE Estudiantes 3ERO, 4TO, 
5TO Y 6TO</t>
  </si>
  <si>
    <t>Logro: Resultados post taller</t>
  </si>
  <si>
    <t>18/07/25 27/08/25</t>
  </si>
  <si>
    <t>Evaluación 1ER CORTE Docentes</t>
  </si>
  <si>
    <t>7 docentes</t>
  </si>
  <si>
    <t>Sesión 1 
Docentes</t>
  </si>
  <si>
    <t>Sesión que tuvo como propósito favorecer laidentificación y expresión de emociones en el entorno docente. 
Logro: Los docentes reconocen a las emociones como mensajeras y la importancia de expresarlas</t>
  </si>
  <si>
    <t>Sesión 2 
Docentes</t>
  </si>
  <si>
    <t>Sesión que tuvo como propósito identificar y aplicar estrategias de autorregulación emocional. 
Logro: Los docentes conocen y practican la técnica RULER, el cual es una herramienta de inteligencia emocional</t>
  </si>
  <si>
    <t>6 docentes</t>
  </si>
  <si>
    <t>Sesión 3 
Docentes</t>
  </si>
  <si>
    <t>Sesión que tuvo como propósito promover laescucha activa y la observación como herramientas docentes. 
Logro: Los docentes aprenden sobre los niveles de escucha, que si y no es la escucha activa y practican la misma.</t>
  </si>
  <si>
    <t>Sesión 4 
Docentes</t>
  </si>
  <si>
    <t>Sesión que tuvo como propósito identificar redes de apoyo y promover el cuidado mutuo entre docentes. 
Logro: Los docentes elaboran una red de apoyo en donde identifican aliados en la institución y comunidad</t>
  </si>
  <si>
    <t>Evaluación 2DO CORTE Docentes</t>
  </si>
  <si>
    <t>Sesión 5 
Docentes</t>
  </si>
  <si>
    <t>Sesión que tuvo como propósito reconocer aprendizajes personales y colectivos conectando con el compromiso ético de continuar promoviendo el bienestar y la toma de decisiones responsables desde su rol docente. 
Logro: Los docentes elaboran una visióncolectiva de una IE donde se haya logrado fortalecer las habilidades CASEL y generan compromisos encaminados a tal visión</t>
  </si>
  <si>
    <t>5 docentes</t>
  </si>
  <si>
    <t>Evaluación 3ER CORTE Docentes</t>
  </si>
  <si>
    <t>Evaluación 1ER CORTE Familias</t>
  </si>
  <si>
    <t>6 familias</t>
  </si>
  <si>
    <t>Sesión 1 
Familias</t>
  </si>
  <si>
    <t>Sesión cuyo objetivo fue brindar herramientas a los cuidadores para conocer a sus hijos y poder interactuar de manera empática con ellos 
Logro: Las familias comprenden la importancia de fortalecer y cuidar el vínculofamiliar</t>
  </si>
  <si>
    <t>Sesión 2 
Familias</t>
  </si>
  <si>
    <t>Sesión cuyo objetivo fue identificar y reflexionar sobre las emociones que experimentan en su rol parental, y cómo estas 
influyen en su relación con sus hijos Logro: Las familias conocen y practican la técnica “El semáforo de las emociones”</t>
  </si>
  <si>
    <t>2 familias</t>
  </si>
  <si>
    <t>21/10/25 
22/10/25</t>
  </si>
  <si>
    <t>Sesión 3 
Familias</t>
  </si>
  <si>
    <t>Sesión cuyo objetivo fue brindar herramientas a los padres para la construcción de vínculos saludables con sus hijos. 
Logro: Las familias conocen y practican la técnica “La hamburguesa asertiva”</t>
  </si>
  <si>
    <t>41 familias</t>
  </si>
  <si>
    <t>Evaluación 2DO CORTE Familias</t>
  </si>
  <si>
    <t>23 familias</t>
  </si>
  <si>
    <t>Sesión 4 
Familias</t>
  </si>
  <si>
    <t>Sesión cuyo objetivo fue fortalecer la capacidad para acompañar a sus hijos en la toma de decisiones responsables a corto y largo plazo, por medio del pensamientoreflexivo de situaciones cotidianas. 
Logro: Las familias conocen y practican la técnica “El semáforo de las decisiones responsables”</t>
  </si>
  <si>
    <t>Evaluación 3ER CORTE Familias</t>
  </si>
  <si>
    <t>Evaluación 1ER CORTE Estudiantes 5TO</t>
  </si>
  <si>
    <t>4 estudiantes</t>
  </si>
  <si>
    <t>Sesión 1 
Estudiantes</t>
  </si>
  <si>
    <t>Sesión 2 
Estudiantes</t>
  </si>
  <si>
    <t>Sesión cuyo propósito fue reconocer la intensidad de las emociones para gestionarlas. Logro: Los estudiantes aprendieron sobre el termómetro emocional y la aplicación de estrategias de gestión emocional como detenerse y respirar</t>
  </si>
  <si>
    <t>3 estudiantes</t>
  </si>
  <si>
    <t>Sesión 3 
Estudiantes</t>
  </si>
  <si>
    <t>Sesión cuyo propósito fue identificar y valorar las perspectivas, emociones y necesidades de los compañeros de aula en situaciones cotidianas, fomentando la empatía y el respeto. 
Logro: Los estudiantes aprendieron sobre qué es y cómo practicar la empatía</t>
  </si>
  <si>
    <t>5 estudiantes</t>
  </si>
  <si>
    <t>Sesión 4 
Estudiantes</t>
  </si>
  <si>
    <t>Sesión cuyo propósito fue reforzar la comunicación asertiva, escucha activa y resolución de conflictos 
Logro: Los estudiantes conocen y diferencianlos tipos de comunicación, así mismo, aplican la comunicación asertiva mediante la técnica del “Nemo asertivo” y escucha activareconociendo aquello como forma de resolver conflictos y vivir en armonía</t>
  </si>
  <si>
    <t>Evaluación 2DO CORTE Estudiantes 5TO</t>
  </si>
  <si>
    <t>Sesión 5 
Estudiantes</t>
  </si>
  <si>
    <t>Evaluación 3ER CORTE Estudiantes 5TO</t>
  </si>
  <si>
    <t>17/07/25 26/07/25</t>
  </si>
  <si>
    <t>3 docentes</t>
  </si>
  <si>
    <t>Sesión que tuvo como propósito promover laescucha activa y la observación como herramientas docentes. 
Logro: Los docentes aprenden sobre los niveles de escucha, que si y no es la escucha activa y practican la misma.</t>
  </si>
  <si>
    <t>Sesión que tuvo como propósito reconocer aprendizajes personales y colectivos conectando con el compromiso ético de continuar promoviendo 
el bienestar y la toma de decisiones responsables desde su rol docente. 
Logro: Los docentes elaboran una visióncolectiva de una IE donde se haya logrado fortalecer las habilidades CASEL y generan compromisos encaminados a tal visión</t>
  </si>
  <si>
    <t>10 familias</t>
  </si>
  <si>
    <t>8 familias</t>
  </si>
  <si>
    <t>4 familias</t>
  </si>
  <si>
    <t>Feria 1</t>
  </si>
  <si>
    <t>“Vínculos que transforman” 
Feria integrativa que reunió a los proyectos ubicados en territorio con el objetivo de continuar promoviendo las habilidades CASEL. 
Logro: Espacio interactivo donde se reforzó y práctico las habilidades CASEL.</t>
  </si>
  <si>
    <t>170 estudiantes 
7 docentes 
3 familias 
2 psicólogas de la C.S Puerto Huarmey 
1 representante de Tramarsa 
5 proyectos (MS, AJ, CCA, PDL y 
Lectoescritura)</t>
  </si>
  <si>
    <t>Feria 2</t>
  </si>
  <si>
    <t>“Vínculos que transforman” 
Feria integrativa que reunió a los proyectos ubicados en territorio con el objetivo las habilidades CASEL. 
Logro: Espacio interactivo donde se reforzó y práctico las habilidades CASEL.</t>
  </si>
  <si>
    <t>38 estudiantes 
3 docentes 
2 familias 
5 proyectos (MS, AJ, CCA, PDL y 
Lectoescritura)</t>
  </si>
  <si>
    <t>San Pedro de Chaná</t>
  </si>
  <si>
    <t>Sesión 0
Familias</t>
  </si>
  <si>
    <t>Presentación del proyecto Mente Sana a familias 
evento para presentar el proyecto a las familias de la institución educativa y realizar pre test 
Logro: Se presentó el proyecto frente a las familias
Se llevó a cabo el pre test</t>
  </si>
  <si>
    <t>15 familias de 4to, 5to y 6to de primaria</t>
  </si>
  <si>
    <t>SAN PEDRO DE CHANÁ</t>
  </si>
  <si>
    <t>Sesión 1 Y 2
Familias</t>
  </si>
  <si>
    <t>“Cómo gestiono lo que siento,
Sesión 1 
Brindar herramientas a los cuidadores para interactuar con sus hijos de forma empática
Cómo me siento
Sesión 2 
Identificar y reflexionar sobre las emociones que experimentan en su rol parental
Logro: Los cuidadores identificaron la emociones presentes en su rol parental y adquirieron herramientas prácticas para gestionarlas</t>
  </si>
  <si>
    <t>11 familias 4to de primaria 
7 familias de 5to de primaria</t>
  </si>
  <si>
    <t>281/08/2025</t>
  </si>
  <si>
    <t>Sesión 1y2
Familias</t>
  </si>
  <si>
    <t>“Cómo gestiono lo que siento,
Sesión 1
Brindar herramientas a los cuidadores para interactuar con sus hijos de forma empática
Cómo me siento
Sesión 2
Identificar y reflexionar sobre las emociones que experimentan en su rol parental
Logro: Los cuidadores identificaron la emociones presentes en su rol parental y adquirieron herramientas prácticas para gestionarlas</t>
  </si>
  <si>
    <t>13 familias de 6to de primaria</t>
  </si>
  <si>
    <t>Sesión 3 Y 4 
Familias</t>
  </si>
  <si>
    <t>“Conociendo…”
Sesión 3
brindar herramientas a
los padres para que guíen
a sus hijos en establecer 
vínculos saludables con
sus hijos
Sesión 4 
fortalecimiento de la
empatía y respeto hacia los
demás
Logro: 
Los cuidadores aplicaron a la comunicación herramientas de comunicación asertiva y escucha activa en casos prácticos. 
Los cuidadores identificaron formas de comunicación agresiva en casos prácticos.</t>
  </si>
  <si>
    <t>Sesión 5
Familias</t>
  </si>
  <si>
    <t>Cuando decidimos con amor la familia se siente mejor
sesión 5 
Fortalecer la capacidad para acompañar a sus hijos en la toma de decisiones responsables a corto y largo plazo, por medio del pensamiento reflexivo de situaciones cotidianas.
Logro: 
Los cuidadores obtuvieron herramientas prácticas para acompañar a sus hijos en la toma de decisiones 
Los cuidadores identificaron la importancia de emplear lo aprendido en el día a día. 
Los cuidadores establecieron compromisos para emplear lo aprendido en el día a día 
clausura 
fomentar la retención y transferencia de lo aprendido 
logros 
Los cuidadores mencionan los principales aprendizajes 
os cuidadores se comprometen a emplear los herramientas adquiridas en determinadas situaciones del día a día</t>
  </si>
  <si>
    <t>sesión 1 y sesión 2 docentes</t>
  </si>
  <si>
    <t>¿Cómo estoy? 
Sesión 1
Favorecer la identificación
y expresión de emociones
en el entorno docente.
Estrategias de autorregulación 
sesión 2 
Identificar y aplicar
estrategias de
autorregulación emocional.
Logro
Los docentes identificaron sus emociones y los eventos, en el entorno escolar, asociados a estas 
Los docentes identificaron las estrategias de autorregulación que poseen y emplean en su día a día 
Los docentes conocieron nuevas herramientas de autorregulación para emplear en su día a día</t>
  </si>
  <si>
    <t>SAN PEDRO DE CHNÁ</t>
  </si>
  <si>
    <t>sesión 3 y 4 docentes</t>
  </si>
  <si>
    <t>Escucha activa y observación 
sesión 3
Promover la escucha activa
y la observación como
herramientas docentes.
Empatía para acompañar
sesión 4 
Identificar y practicar un
vocabulario empático que
incluye frases como “yo
siento...” - “yo necesito...”
Logro</t>
  </si>
  <si>
    <t>sesión 5 y 6 docentes</t>
  </si>
  <si>
    <t>confianza para crecer 
sesión 5
Explorar y fortalecer las
acciones que generan
confianza.
El cuidado
sesión 6 
Identificar redes de apoyo y
promover el cuidado mutuo
entre docentes.
Logro</t>
  </si>
  <si>
    <t>sesión 7 y 8
docentes</t>
  </si>
  <si>
    <t>Decidir con conciencia
sesión 7 
toma de decisiones como un proceso consciente que integra emociones, contexto y consecuencias, fortaleciendo la capacidad docente para elegir de manera reflexiva y responsable en su entorno educativo.
Decisiones que transforman: de la reflexión a la acción docente
sesión 8 
reconocer los aprendizajes personales y colectivos, conectando con el compromiso ético de continuar promoviendo el bienestar y la toma de decisiones responsables desde su rol docente
Logros 
los docentes identificaron los elementos que intervienen en la toma de decisiones
los docentes establecieron compromisos para promover el bienestar en el aula</t>
  </si>
  <si>
    <t>sesión 1 estudiantes</t>
  </si>
  <si>
    <t>¿cómo me siento? 
sesión 1
Reconocer y validar
emociones propias. Se
explora la gestión del enojo
Logro
Los estudiantes identifican los eventos asociados a la emoción del enojo, así como las reacciones fisiológicas y cognitivas.</t>
  </si>
  <si>
    <t>sesión 2 estudiantes</t>
  </si>
  <si>
    <t>¿cómo gestiono lo que siento? 
Reconocer la intensidad de
las emociones para
gestionarlas.
Logro
los estudiantes reconocen la importancia de gestionar la emociones 
los estudiantes emplean una herramienta práctica para reconocer la intensidad de su emoción 
los estudiantes emplean herramientas prácticas para regular emociones intensas</t>
  </si>
  <si>
    <t>¿cómo gestiono lo que siento? 
Reconocer la intensidad de
las emociones para
gestionarlas.
Logro
los estudiantes reconocen la importancia de gestionar la emociones 
los estudiantes emplean una herramienta práctica para reconocer la intensidad de su emoción 
los estudiantes emplean herramientas prácticas para regular emociones intensas</t>
  </si>
  <si>
    <t>sesión 3 estudiantes</t>
  </si>
  <si>
    <t>Trabajando la conciencia social
sesión 3 
Identificar y valorar las
perspectivas, emociones y
necesidades de los
compañeros de aula en
situaciones cotidianas,
fomentando la empatía y el
respeto
Logro 
los estudiantes reconocen la importancia y beneficios de la empatía 
los estudiantes practican frases para acercarse de forma empática a sus compañeros</t>
  </si>
  <si>
    <t>sesión 4 estudiantes</t>
  </si>
  <si>
    <t>Potenciando las competencias para relacionarse saludablemente
sesión 4 
Identificar y valorar las
perspectivas, emociones y
necesidades de los
compañeros de aula en
situaciones cotidianas,
fomentando la empatía y el
respeto
Logro
Los estudiantes Aplicaron la escucha
activa y
comunicación
asertiva en
ejercicios prácticos.</t>
  </si>
  <si>
    <t>sesión 5 estudiantes</t>
  </si>
  <si>
    <t>Comunicación asertiva
Los estudiantes aplican la comunicación asertiva en distintos casos asociados al entorno escolar 
sesión 5 
Logro 
Los estudiantes conocen los distintos tipos de comunicación y las consecuencias de emplear cada una de ellas
Los estudiantes identifican los distintos tipos de comunicación en casos prácticos asociados a su día a día
 los estudiantes dan respuestas asertivas en casos prácticos asociados a su día a día</t>
  </si>
  <si>
    <t>2/10/ 2025</t>
  </si>
  <si>
    <t>Comunicación asertiva 
Los estudiantes aplican la comunicación asertiva en distintos casos asociados al entorno escolar 
sesión 5
Logro
Los estudiantes conocen los distintos tipos de comunicación y las consecuencias de emplear cada una de ellas
Los estudiantes identifican los distintos tipos de comunicación en casos prácticos asociados a su día a día</t>
  </si>
  <si>
    <t>sesión 6
estudiantes</t>
  </si>
  <si>
    <t>Pienso y actúo
sesión 6
Desarrollar la capacidad de analizar situaciones cotidianas de forma crítica, reflexionando sobre las consecuencias de sus decisiones a corto y a largo plazo, para fomentar la toma de decisiones responsable y consciente. 
Logro 
los y las estudiantes conocieron los pasos implicados en la toma de decisiones
los estudiantes aplican los pasos de la toma de decisiones en un caso práctico asociado a su día a día</t>
  </si>
  <si>
    <t>feria</t>
  </si>
  <si>
    <t>feria
Se realizó la actividad integrando a las instituciones educativas 86906-Vistoso y 86357- Santa Cruz de Pichiu. 
Identificar los componentes de las habilidades socioemocionales, según el modelo CASEL.
Reconocer qué son las habilidades socioemocionales y su impacto en el desarrollo de las personas de la comunidad.</t>
  </si>
  <si>
    <t>SANTA CRUZ DE PICHIÚ</t>
  </si>
  <si>
    <t>sesión 0 familias</t>
  </si>
  <si>
    <t>sesión 1 y 2 familias</t>
  </si>
  <si>
    <t>sesión 3 y 4 familias</t>
  </si>
  <si>
    <t>sesión 5</t>
  </si>
  <si>
    <t>Cuando decidimos con amor la familia se siente mejor
sesión 5 y clausura
Fortalecer la capacidad para acompañar a sus hijos en la toma de decisiones responsables a corto y largo plazo, por medio del pensamiento reflexivo de situaciones cotidianas.
Logro: 
Los cuidadores obtuvieron herramientas prácticas para acompañar a sus hijos en la toma de decisiones 
Los cuidadores identificaron la importancia de emplear lo aprendido en el día a día. 
Los cuidadores establecieron compromisos para emplear lo aprendido en el día a día</t>
  </si>
  <si>
    <t>clausura</t>
  </si>
  <si>
    <t>clausura
fomentar la retención y transferencia de lo aprendido 
Los cuidadores mencionan los principales aprendizajes 
os cuidadores se comprometen a emplear los herramientas adquiridas en determinadas situaciones del día a día</t>
  </si>
  <si>
    <t>sesión 1 y sesión 2 
docentes</t>
  </si>
  <si>
    <t>clausura estudiantes</t>
  </si>
  <si>
    <t>Clausura 
Fomentar la retención y transferencia 
Los estudiantes identificaron sus principales aprendizajes 
Los estudiantes identificaron su propio avance 
los estudiantes se comprometieron a emplear los principales aprendizajes en el día a día</t>
  </si>
  <si>
    <t>Ayash Pichiú</t>
  </si>
  <si>
    <t>08/072025</t>
  </si>
  <si>
    <t>sesión 0
familias</t>
  </si>
  <si>
    <t>sesión 1 familias</t>
  </si>
  <si>
    <t>“Cómo gestiono lo que siento,
Sesión 1 
Brindar herramientas a los cuidadores para interactuar con sus hijos de forma empática
Logro: Los cuidadores identificaron la emociones presentes en su rol parental y adquirieron herramientas prácticas para gestionarlas</t>
  </si>
  <si>
    <t>sesión 2 y 3 familias</t>
  </si>
  <si>
    <t>Cómo me siento
Sesión 2 
Identificar y reflexionar sobre las emociones que experimentan en su rol parental
Conociendo…”
Sesión 3
brindar herramientas a
los padres para que guíen
a sus hijos en establecer 
vínculos saludables con
sus hijos
Logros 
los padres exploran, identifican y validan la emociones que suelen experimentar en su rol de parental 
los cuidadores emplean herramientas prácticas para identificar la intensidad de dichas emociones
los cuidadores conocen formas de brindar guía a sus hijos mediante la comunicación asertiva y escucha activa 
Los cuidadores identifican formas violentas de corregir</t>
  </si>
  <si>
    <t>sesión 4 y 5 familias</t>
  </si>
  <si>
    <t>Sesión 4 
fortalecimiento de la
empatía y respeto hacia los
demás
Cuando decidimos con amor la familia se siente mejor
sesión 5 
fortalecer la capacidad para acompañar a sus hijos en la toma de decisiones responsables a corto y largo plazo, por medio del pensamiento reflexivo de situaciones cotidianas.
logros 
los cuidadores identifican formas asertivas y violentas de corregir a sus hijos en casos prácticos y vivenciales 
los cuidadores aplican estrategias de andamiaje para la guía en la toma de decisiones en casos prácticos y vivenciales</t>
  </si>
  <si>
    <t>¿cómo gestiono lo que siento? 
Reconocer la intensidad de
las emociones para
gestionarlas.
sesión 2 
Logro
los estudiantes reconocen la importancia de gestionar la emociones 
los estudiantes emplean una herramienta práctica para reconocer la intensidad de su emoción 
los estudiantes emplean herramientas prácticas para regular emociones intensas</t>
  </si>
  <si>
    <t>Sesión 6 estudiantes</t>
  </si>
  <si>
    <t>sesión 6 estudiantes</t>
  </si>
  <si>
    <t>Huancayoc</t>
  </si>
  <si>
    <t>Sesión 1
Estudiantes 4to B</t>
  </si>
  <si>
    <t>“¿Cómo me siento?
Taller para Identificar, validar y gestionar las emociones en el día a día.
Logro: Reconoce las propias emociones.</t>
  </si>
  <si>
    <t>7 estudiantes</t>
  </si>
  <si>
    <t>Sesión 2
Estudiantes 4to B</t>
  </si>
  <si>
    <t>“¿Cómo gestiono lo que siento?”
Taller para reconocer la intensidad de las emociones para gestionarlas.
Logro: Espacio potente de conexión padre-hijo a través del juego.</t>
  </si>
  <si>
    <t>10 estudiantes</t>
  </si>
  <si>
    <t>Sesión 1
Estudiantes 6to</t>
  </si>
  <si>
    <t>20 estudiantes</t>
  </si>
  <si>
    <t>Sesión 1
Estudiantes 5to</t>
  </si>
  <si>
    <t>19 estudiantes</t>
  </si>
  <si>
    <t>Sesión 1
Estudiantes 4to A</t>
  </si>
  <si>
    <t>14 estudiantes</t>
  </si>
  <si>
    <t>Sesión 2
Estudiantes 4to A</t>
  </si>
  <si>
    <t>Sesión 2
Estudiantes 5to</t>
  </si>
  <si>
    <t>18 estudiantes</t>
  </si>
  <si>
    <t>Sesión 2
Estudiantes 6to</t>
  </si>
  <si>
    <t>Sesión 1
Estudiantes 4to, 5to y 6to</t>
  </si>
  <si>
    <t>Sesión 1
Familias 4to, 5to y 6to</t>
  </si>
  <si>
    <t>“Trabajamos la autoconciencia”
Taller para Identificar y reflexionar sobre las emociones que experimentan en su rol parental, y cómo estas influyen en su relación con sus hijos.
Logro: Reconoce las propias emociones
“Trabajamos el automanejo y gestión de emociones, pensamientos y conductas.”
Taller para brindar herramientas a los cuidadores para conocer a sus hijos y poder interactuar de manera empática con ellos
Logro: Identifica recursos para gestionar las emociones intensas</t>
  </si>
  <si>
    <t>Sesión 1
Familia 6to</t>
  </si>
  <si>
    <t>12 familias</t>
  </si>
  <si>
    <t>Sesión 3 Estudiantes 4to B</t>
  </si>
  <si>
    <t>“Trabajamos la conciencia social”
Taller para Identificar y valorar las perspectivas, emociones y necesidades de los compañeros de aula en situaciones cotidianas, fomentando la empatía y el respeto.
Logro: Aplica la escucha activa y comunicación asertiva en ejercicios prácticos.</t>
  </si>
  <si>
    <t>8 estudiantes</t>
  </si>
  <si>
    <t>Sesión 3 Estudiantes 6to</t>
  </si>
  <si>
    <t>Sesión 2
Estudiantes 4to, 5to y 6to</t>
  </si>
  <si>
    <t>Sesión 1 Docentes</t>
  </si>
  <si>
    <t>“¿Cómo estoy?”
Taller para favorecer la identificación y expresión de emociones en el entorno docente.
Logro: Identifica estrategias de autorregulación
“Estrategias para autorregularse”
Taller para Identificar y aplicar estrategias de autorregulación emocional.
Logro: Ejecuta actividades para autorregularse.</t>
  </si>
  <si>
    <t>1 docente</t>
  </si>
  <si>
    <t>Sesión 1 Familias 5to</t>
  </si>
  <si>
    <t>14 familias</t>
  </si>
  <si>
    <t>Sesión 3 Estudiantes 5to</t>
  </si>
  <si>
    <t>Sesión 3 Estudiantes 4to, 5to y 6to</t>
  </si>
  <si>
    <t>Sesión 3 Estudiantes 4to A</t>
  </si>
  <si>
    <t>03/102025</t>
  </si>
  <si>
    <t>Sesión 2 Familias 4to, 5to y 6to</t>
  </si>
  <si>
    <t>“Se trabaja la conciencia social en sus hijos”
Taller para brindar herramientas a los padres para que promuevan y fortalezcan los vínculos saludables con sus hijos
Logro: Aplica la escucha activa y comunicación asertiva en ejercicios prácticos.
“Se trabaja habilidades sociales para promover una relación saludable.”
Taller para trabajar el fortalecimiento de la empatía y respeto hacia sus hijos
Logro: Aplica la escucha activa y comunicación asertiva en ejercicios prácticos.</t>
  </si>
  <si>
    <t>5 familias</t>
  </si>
  <si>
    <t>Sesión 2 Familias 6to</t>
  </si>
  <si>
    <t>Sesión 2 Docentes</t>
  </si>
  <si>
    <t>“Escucha activa y observación”
Taller para promover la escucha activa y la observación como herramientas docentes.
Logro: 
● Reconoce los elementos de la escucha activa. 
● Aplica la escucha activa en ejercicios prácticos.
“Empatía para acompañar.”
Taller para Identificar y practicar un vocabulario empático que incluye frases como “yo siento…” - “yo necesito…” 
Logro: Usa el lenguaje "yo siento, yo necesito" en simulaciones de casos prácticos.</t>
  </si>
  <si>
    <t>Sesión 4 Estudiantes 6to</t>
  </si>
  <si>
    <t>“Potenciando las competencias para relacionarse saludablemente con los demás”
Taller para reforzar la comunicación asertiva, escucha activa y resolución de conflictos.
Logro: Aplica la escucha activa y comunicación asertiva en ejercicios prácticos.</t>
  </si>
  <si>
    <t>Sesión 4 Estudiantes 5to</t>
  </si>
  <si>
    <t>Sesión 4 Estudiantes 4to A</t>
  </si>
  <si>
    <t>Sesión 4 Estudiantes 4to B</t>
  </si>
  <si>
    <t>Sesión 1 Familias 4to</t>
  </si>
  <si>
    <t>Feria</t>
  </si>
  <si>
    <t>feria
Se realizó la actividad integrando a las instituciones educativas Huancayoc y Tambo
Identificar los componentes de las habilidades socioemocionales, según el modelo CASEL.
Reconocer qué son las habilidades socioemocionales y su impacto en el desarrollo de las personas de la comunidad.</t>
  </si>
  <si>
    <t>65 estudiantes
5 docentes</t>
  </si>
  <si>
    <t>Sesión 5 Estudiantes 4to B</t>
  </si>
  <si>
    <t>“Trabajamos la toma responsable de decisiones”
Taller para la toma de decisiones responsables basadas en el análisis de las consecuencias a corto y largo plazo
Logro: Identifica las consecuencias a corto, mediano y largo de una decisión</t>
  </si>
  <si>
    <t>Sesión 5 Estudiantes 6to</t>
  </si>
  <si>
    <t>17 estudiantes</t>
  </si>
  <si>
    <t>Sesión 5 Estudiantes 5to</t>
  </si>
  <si>
    <t>Sesión 5 Estudiantes 4to A</t>
  </si>
  <si>
    <t>13 estudiantes</t>
  </si>
  <si>
    <t>Sesión 4 Estudiantes 4to, 5to y 6to</t>
  </si>
  <si>
    <t>Sesión 2 Familias 4to</t>
  </si>
  <si>
    <t>Sesión 3 Docentes</t>
  </si>
  <si>
    <t>“Confianza para crecer”
Taller para explorar y fortalecer las acciones que generan confianza.
Logro: Identifica acciones propias/recursos para generar y fortalecer la confianza con su entorno.
“El cuidado”
Taller para Identificar redes de apoyo y promover el cuidado mutuo entre docentes.
Logro: Reconoce personas y espacios que lo apoyan emocionalmente</t>
  </si>
  <si>
    <t>Sesión 5 Estudiantes 4to, 5to y 6to</t>
  </si>
  <si>
    <t>Sesión 3 Familias 4to</t>
  </si>
  <si>
    <t>“Toma de decisiones responsables basadas en el análisis de las consecuencias a corto y largo plazo”
Taller para toma de decisiones responsables basadas en el análisis de las consecuencias a corto y largo plazo
Logro: Identifica las consecuencias a corto, mediano y largo de una decisión.</t>
  </si>
  <si>
    <t>7 familias</t>
  </si>
  <si>
    <t>Sesión 3 Familias 6to</t>
  </si>
  <si>
    <t>Sesión 4 Docentes</t>
  </si>
  <si>
    <t>“Decidir con conciencia”
toma de decisiones como un proceso consciente que integra emociones, contexto y consecuencias, fortaleciendo la capacidad docente para elegir de manera reflexiva y responsable en su entorno educativo.
Logros 
los docentes identificaron  los elementos que intervienen en la toma de decisiones
Decisiones que transforman: de la reflexión a la acción docente
reconocer los aprendizajes personales y colectivos, conectando con el compromiso ético de continuar promoviendo el bienestar y la toma de decisiones responsables desde su rol docente
Logros  
los docentes establecieron compromisos para promover el bienestar en el aula</t>
  </si>
  <si>
    <t>Sesión 3 Familias 5to</t>
  </si>
  <si>
    <t>Sesión 3 Familia 4to, 5to y 6to</t>
  </si>
  <si>
    <t>3 familias</t>
  </si>
  <si>
    <t>Sesión 1
Estudiantes</t>
  </si>
  <si>
    <t>“¿Cómo me siento?”
Sesión 01 - Reconocer y validar emociones propias.
Logro: Estudiantes identifican que las emociones son agradables y desagradables y no buenas ni malas, todas son válidas</t>
  </si>
  <si>
    <t>9 estudiantes de 5to de primaria “U”</t>
  </si>
  <si>
    <t>Sesión 2
Estudiantes</t>
  </si>
  <si>
    <t>“¿Cómo gestiono lo que siento?”
Sesión 02 - Reconocer la intensidad de las emociones para gestionarlas.
Logro: Estudiantes identifican las 6 emociones básicas a partir de situaciones cotidianas</t>
  </si>
  <si>
    <t>11 estudiantes del 5to de primaria “U”</t>
  </si>
  <si>
    <t>Sesión 3 Estudiantes</t>
  </si>
  <si>
    <t>“Trabajamos la conciencia social”
Sesión 03 - Identificar y valorar las perspectivas , emociones y necesidades de los compañeros de aula.
Logro: Estudiantes fortalecen su empatía y respeto</t>
  </si>
  <si>
    <t>15 estudiantes del 5to y 6to de primaria “U”</t>
  </si>
  <si>
    <t>Sesión 4 Estudiantes</t>
  </si>
  <si>
    <t>“Conocemos los estilos de comunicación”
Sesión 04 - Identificar los tres estilos de comunicación.
Logro: Estudiantes fortalecen su comunicación asertiva</t>
  </si>
  <si>
    <t>14 estudiantes del 5to y 6to de primaria “U”</t>
  </si>
  <si>
    <t>Sesión 5 Estudiantes</t>
  </si>
  <si>
    <t>“Toma de decisiones responsables”
Sesión 05 - Fomentar la toma de decisiones basadas en el análisis de las consecuencias a corto y largo plazo.
Logro: Estudiantes identifican las consecuencias a corto y largo plazo de una decisión.</t>
  </si>
  <si>
    <t>12 estudiantes del 5to de primaria “U”</t>
  </si>
  <si>
    <t>Sesión 6 Estudiantes</t>
  </si>
  <si>
    <t>“Toma de decisiones responsables - 2 ”
Sesión 05 - Fomentar la toma de decisiones basadas en el análisis de las consecuencias a corto y largo plazo.
Logro: Estudiantes identifican las consecuencias a corto y largo plazo de una decisión.</t>
  </si>
  <si>
    <t>Sesión 1 y 2
Estudiantes</t>
  </si>
  <si>
    <t>5 estudiantes de 6to de primaria “U”</t>
  </si>
  <si>
    <t>Sesión 5
Estudiantes</t>
  </si>
  <si>
    <t>18 estudiantes de 1ro de secundaria “U”</t>
  </si>
  <si>
    <t>17 estudiantes de 1ro de secundaria “U”</t>
  </si>
  <si>
    <t>Sesión 3
Estudiantes</t>
  </si>
  <si>
    <t>14 estudiantes de 1ro de secundaria “U”</t>
  </si>
  <si>
    <t>Sesión 4
Estudiantes</t>
  </si>
  <si>
    <t>16 estudiantes de 1ro de secundaria “U”</t>
  </si>
  <si>
    <t>Sesión 00 Familias</t>
  </si>
  <si>
    <t>Aplicación de la línea base</t>
  </si>
  <si>
    <t>34 padres de familia de primaria y secundaria</t>
  </si>
  <si>
    <t>Sesión 01 Familias</t>
  </si>
  <si>
    <t>“Trabajamos la autoconciencia”
Sesión 01 - Brindar herramientas para conocer a sus hijos e interactuar de manera empática.
Logro: Que los padres puedan reconocer sus propias emociones así como la de sus hijos</t>
  </si>
  <si>
    <t>22 padres de familia de primaria y secundaria</t>
  </si>
  <si>
    <t>Sesión 02 Familias</t>
  </si>
  <si>
    <t>“Trabajamos la identificación y control de emociones en la relación con mi hijo(a)”
Sesión 02 - Identificar y reflexionar sobre las emociones que experimentan en su rol parental.
Logro: Que los padres identifiquen recursos para el control de emociones</t>
  </si>
  <si>
    <t>0 padres de familia de primaria y secundaria</t>
  </si>
  <si>
    <t>Sesión 03 Familias</t>
  </si>
  <si>
    <t>“Fortalecimiento de la empatía, respeto y comunicación asertiva”
Sesión 03 - Brindar herramientas a los padres para que guíen a sus hijos en vínculos saludables.
Logro: Que los padres apliquen la escucha activa y la comunicación asertiva</t>
  </si>
  <si>
    <t>12 padres de familia de primaria y secundaria</t>
  </si>
  <si>
    <t>Sesión 01 Docentes</t>
  </si>
  <si>
    <t>“¿Cómo estoy?”
Sesión 01 - Favorecer la identificación y expresión de emociones en el entorno docente
Logro: Que los estudiantes desarrollen un registro emocional</t>
  </si>
  <si>
    <t>13 docentes de primaria y secundaria</t>
  </si>
  <si>
    <t>Feria Comunitaria 01</t>
  </si>
  <si>
    <t>“Siente, piensa y transforma: Donde el corazón y la razón se encuentran”
Feria 01 - Promover la empatía en la comunidad educativa a través del respeto y la gratitud
Logro: Que los estudiantes faciliten los espacios a través de la aplicación de lo aprendido en las sesiones de MS</t>
  </si>
  <si>
    <t>Toda la comunidad educativa</t>
  </si>
  <si>
    <t>Sesión 04 Familias</t>
  </si>
  <si>
    <t>“Cuando decidimos mejor la familia se siente mejor”
Sesión 04 - Identificar y reflexionar sobre las emociones que experimentan en su rol parental.
Logro: Que los padres identifiquen recursos para el control de emociones</t>
  </si>
  <si>
    <t>07 padres de familia de primaria y secundaria</t>
  </si>
  <si>
    <t>Sesión 02 Docentes</t>
  </si>
  <si>
    <t>“Promover la escucha activa y la observación como herramienta docente”
Sesión 02 - Favorecer la escucha activa para fortalecer la comprensión a los estudiantes 
Logro: Que los docentes puedan reconocer los elementos de la escucha activa</t>
  </si>
  <si>
    <t>11 docentes de primaria y secundaria</t>
  </si>
  <si>
    <t>Sesión 03 Docentes</t>
  </si>
  <si>
    <t>“Decidir con conciencia”
Sesión 01 - Valorar la toma de decisiones como un proceso consciente que integra emociones, contexto y consecuencias Logro: Que los docentes fortalezcan la capacidad de tomar decisiones conscientes en el entorno educativo</t>
  </si>
  <si>
    <t>Feria Comunitaria 02</t>
  </si>
  <si>
    <t>Toda la comunidad educativa y autoridades de la comunidad</t>
  </si>
  <si>
    <t>6 estudiantes de 5to de primaria “U”</t>
  </si>
  <si>
    <t>5 estudiantes de 5to de primaria “U”</t>
  </si>
  <si>
    <t>8 estudiantes de 6to de primaria “U”</t>
  </si>
  <si>
    <t>Sesión 02
Estudiantes</t>
  </si>
  <si>
    <t>10 estudiantes de 6to de primaria “U”</t>
  </si>
  <si>
    <t>4 estudiantes de 1ro de secundaria “U”</t>
  </si>
  <si>
    <t>5 estudiantes de 1ro de secundaria “U”</t>
  </si>
  <si>
    <t>Sesión 04
Estudiantes</t>
  </si>
  <si>
    <t>Sesión 05
Estudiantes</t>
  </si>
  <si>
    <t>2 estudiantes de 1ro de secundaria “U”</t>
  </si>
  <si>
    <t>“Fortalecimiento de la empatía, respeto y comunicación asertiva”
Sesión 02 - Brindar herramientas a los padres para que guíen a sus hijos en vínculos saludables.
Logro: Que los padres apliquen la escucha activa y la comunicación asertiva</t>
  </si>
  <si>
    <t>2 padres de familia de primaria</t>
  </si>
  <si>
    <t>“Cuando decidimos mejor la familia se siente mejor”
Sesión 03 - Identificar y reflexionar sobre las emociones que experimentan en su rol parental.
Logro: Que los padres identifiquen recursos para el control de emociones</t>
  </si>
  <si>
    <t>02 padres de familia de 6to de primaria</t>
  </si>
  <si>
    <t>12 docentes de primaria y secundaria</t>
  </si>
  <si>
    <t>4 docentes de primaria y secundaria</t>
  </si>
  <si>
    <t>5 docentes de primaria y secundaria</t>
  </si>
  <si>
    <t>Sesión 01 y 02
Estudiantes</t>
  </si>
  <si>
    <t>14 estudiantes de 5to de primaria “U”</t>
  </si>
  <si>
    <t>Sesión 03
Estudiantes</t>
  </si>
  <si>
    <t>12 estudiantes de 5to de primaria “U”</t>
  </si>
  <si>
    <t>13 estudiantes de 5to de primaria “U”</t>
  </si>
  <si>
    <t>Sesión 01
Estudiantes</t>
  </si>
  <si>
    <t>4 estudiantes de 6to de primaria “U”</t>
  </si>
  <si>
    <t>15 estudiantes de 1ro de secundaria “U”</t>
  </si>
  <si>
    <t>29 padres de familia de primaria y secundaria</t>
  </si>
  <si>
    <t>30 padres de familia de primaria y secundaria</t>
  </si>
  <si>
    <t>9 docentes de primaria y secundaria</t>
  </si>
  <si>
    <t>Sesión 04 Docentes</t>
  </si>
  <si>
    <t>“Decidir con conciencia - 2”
Sesión 01 - Valorar la toma de decisiones como un proceso consciente que integra emociones, contexto y consecuencias Logro: Que los docentes fortalezcan la capacidad de tomar decisiones conscientes en el entorno educativo</t>
  </si>
  <si>
    <t>Sesión 01 - Programa de contención socioemocional</t>
  </si>
  <si>
    <t>Sesión 01: Identificación de emociones y registro emocional</t>
  </si>
  <si>
    <t>3 estudiantes de 3ro de secundaria “U”</t>
  </si>
  <si>
    <t>Sesión 02 - Programa de contención socioemocional</t>
  </si>
  <si>
    <t>Sesión 02: Fortalecimiento del autoconocimiento</t>
  </si>
  <si>
    <t>Sesión 03 - Programa de contención socioemocional</t>
  </si>
  <si>
    <t>Sesión 03: Identificación de señales de alerta en torno a la violencia</t>
  </si>
  <si>
    <t>Ubicación</t>
  </si>
  <si>
    <t>Desafíos encontrados</t>
  </si>
  <si>
    <t>Acciones para mitigar y contrarrestar los desafíos</t>
  </si>
  <si>
    <t>Lecciones aprendidas: qué necesita continuidad (replicación), qué necesita ajuste, qué necesita discontinuidad</t>
  </si>
  <si>
    <t>UGT: VALLE FORTALEZA
Provincia: BOLOGNESI
Distrito: CAJACAY
Centro Poblado: COLCA</t>
  </si>
  <si>
    <t>En las reuniones programadas con docentes predominaron los silencios prolongados y se evidenció cierta resistencia a iniciar procesos de reflexión vinculados a su gestión emocional. 
Sus intervenciones se basaron en discursos pre elaborados sobre la gestión de emociones, se dificultó identificar cómo se encontraban realmente.</t>
  </si>
  <si>
    <t>Se diseñaron actividades centradas en la experiencia cotidiana de los docentes (análisis de casos, situaciones problemáticas frecuentes).
Se utilizaron sus discursos teóricas para conectar con ejemplos prácticos, ayudándoles a trasladar el discurso a su propia vivencia emocional.</t>
  </si>
  <si>
    <t>Incorporar una bitácora de emociones que promueva la práctica y preparación en el reconocimiento de emociones, en cualquier momento o ante cualquier situación, para recolectar material que pueda ser traído y trabajado en las sesiones.</t>
  </si>
  <si>
    <t>UGT: VALLE FORTALEZA
Provincia: RECUAY
Distrito: PARARIN
Centro Poblado: RINCONADA</t>
  </si>
  <si>
    <t>Primaria
Secundaria</t>
  </si>
  <si>
    <t>Desde la dirección se tuvo limitaciones para la convocatoria de docentes y familias, con actitudes de conformismo y resignación frente a baja participación.
Escasa participación de docentes y familia en talleres programados, afectando la continuidad y el impacto esperado de estos componentes en el proyecto.</t>
  </si>
  <si>
    <t>La Directora aceptó vincular los talleres con reuniones a las que las familias debían asistir (APAFA o entrega de libretas).
Se reformularon las sesiones a manera de charla informativa, conservando los contenidos psicoeducativos.</t>
  </si>
  <si>
    <t>Incluir las actividades del Proyecto desde el inicio del año escolar para que puedan ser agendadas en las actividades de la escuela y consideradas en su real importancia.</t>
  </si>
  <si>
    <t>UGT: VALLE FORTALEZA
Provincia: BOLOGNESI
Distrito: COLQUIOC
Centro Poblado: CHASQUITAMBO</t>
  </si>
  <si>
    <t>Limitado poder de convocatoria del directivo, acompañado de actitudes de conformismo y resignación frente a baja participación de familias.
Participación limitada de algunos docentes tutores, quienes estuvieron en el aula durante el desarrollo de los talleres; pero se centraron en mantener la disciplina y no mostraron interés en participar de las actividades junto a los estudiantes.
Baja participación de las familias en los talleres programados, afectando el impacto esperado del componente familiar del proyecto.
Algunos estudiantes requirieron un poco más de ayuda para comprender y resolver ciertas tareas.
Hacia el final del año escolar, la institución programa diversas actividades académicas y administrativas, lo que limita la disponibilidad de tiempo y dificulta la programación de reuniones y talleres de cierre del proyecto.</t>
  </si>
  <si>
    <t>Se coordinó con el director para participar en las reuniones convocadas por los docentes de aula. Se reformularon las sesiones como charlas informativas, manteniendo el contenido psicoeducativo. Algunos docentes accedieron a brindar espacio durante sus reuniones, otros no. 
También se adecuaron algunas actividades y otras se diseñaron para ser realizadas fuera de clase como refuerzo de contenidos importantes.</t>
  </si>
  <si>
    <t>Transformar las sesiones en charlas permitió garantizar la ejecución mínima del contenido psicoeducativo.
El trabajo con familias continúa siendo un componente clave, difícil de ejecutar con la modalidad de escuela para padres. El acompañamiento individualizado a familias podría ser el primer paso para que se involucren en en el desarrollo socioemocional de sus hijos.</t>
  </si>
  <si>
    <t>UGT: VALLE FORTALEZA
Provincia: BOLOGNESI
Distrito: COLQUIOC
Centro Poblado: LLAMPA</t>
  </si>
  <si>
    <t>Las familias presentaban múltiples responsabilidades laborales y extensas jornadas de trabajo, lo que dificultó su asistencia a las reuniones programadas mensualmente en las fechas establecidas.
Hacia el final del año escolar, la institución programa diversas actividades académicas y administrativas, lo que limita la disponibilidad de tiempo y dificulta la programación de reuniones y talleres de cierre del proyecto.</t>
  </si>
  <si>
    <t>Se propuso la realización de talleres con familias los dias domingos de cada mes. 
Se programaron ferias multiprogramas y las evaluaciones de cierre fueron entregadas a los docentes para que las apliquen a los estudiantes y envien las respuestas. Sin embargo ello no garantiza la uniformidad de la aplicación.</t>
  </si>
  <si>
    <t>Calendarizar actividades del Proyecto desde el inicio del año escolar, de manera que sean fechas consideradas por los docentes y directivos y no tengan que coordinarse aparte de su calendario.</t>
  </si>
  <si>
    <t xml:space="preserve">UGT: HUARMEY 
Provincia: HUARMEY 
Distrito: HUARMEY 
Centro Poblado: PUERTO HUARMEY </t>
  </si>
  <si>
    <t>Contenido informativo dirigido a grados próximos a la secundaria.</t>
  </si>
  <si>
    <t>Dado que el taller fue diseñado inicialmente para los niveles de 1erode secundaria, 6to y 5to de primaria, fue necesario realizar ajustes metodológicos, como el usode ejemplos más concretos y actividades simplificadas. Este reto fue abordado de manera positiva, logrando que los estudiantes más pequeños pudieran comprender y participar activamente en las dinámicas propuestas.</t>
  </si>
  <si>
    <t>Contenidos con estas 
características pueden resultar  
altamente provechosas para diversos niveles educativos, por loque sería relevante considerarlas en una futura planificación de sesiones</t>
  </si>
  <si>
    <t>UGT: HUARMEY 
Provincia: HUARMEY 
Distrito: HUARMEY 
Centro Poblado: 09 DE 
OCTUBRE</t>
  </si>
  <si>
    <t>Baja disponibilidad de tiempo en docentes</t>
  </si>
  <si>
    <t xml:space="preserve">Para agendar las sesiones con los docentes y favorecer su 
participación, fue importante identificar a aquellos docentes queejercían liderazgo, de modo que podrían convertirse en aliados y contribuir a asegurar la asistencia.
</t>
  </si>
  <si>
    <t xml:space="preserve">Si bien esta estrategia resultó efectiva para asegurar la 
participación de todos los docentes, es importante señalar que la disponibilidad de tiempo 
de este grupo poblacional es limitada debido a sus cargas laborales y responsabilidades 
personales. Por tanto, se sugiere considerar ello para la cantidad de sesiones a planificar en la siguiente propuesta.
</t>
  </si>
  <si>
    <t>UGT: MINA 
Provincia: HUARI
Distrito: SAN PEDRO DE CHANÁ
Centro Poblado: VISTOSO</t>
  </si>
  <si>
    <t>Baja participación inicial de las familias 
Dificultades en el el desarrollo de la lectoescritura en familias y estudiantes 
Dificultades en la participación oral por barreras idiomáticas 
cruce con actividades institucionales 
Presencia de conducta disruptivas en algunos estudiantes</t>
  </si>
  <si>
    <t>Estrategia de apalancamiento con otras actividades institucionales
Adaptación de materiales 
uso de imágenes y pictogramas, apoyo de personas bilingües en el espacio 
 Reprogramación de actividades 
Asignación de roles activos a alumnos con conductas disruptivas</t>
  </si>
  <si>
    <t>Se requiere de un proceso de sensibilización previa junto con un diagnóstico que recoja las prioridades de la población. 
se requiere de herramientas de evaluación más accesibles para la población 
mapeo y elaboración de calendario de actividades festivas, deportivas y culturales de las I.E 
Continuar con las metodologías participativas y adaptadas
Seguir asignando roles activos a estudiantes con conductas disruptivas.
Mantener la articulación con docentes que ya se involucraron progresivamente.
Repetir el uso de referentes locales 
descontinuar materiales que resultaron demasiado complejos para el nivel de lectoescritura local.</t>
  </si>
  <si>
    <t>UGT: MINA
Provincia: HUARI
Distrito: SAN PEDRO DE CHANÁ
Centro Poblado: SANTA CRUZ DE PICHIÚ</t>
  </si>
  <si>
    <t>Aulas multigrado con amplio grupo etario 
Dificultades en el desarrollo previo de lectoescritura en el grupo de familias y estudiantes 
Incongruencia entre las expectativas de dirección sobre la frecuencia de visitas al colegio y lo planificado</t>
  </si>
  <si>
    <t>actividades con distintos niveles de complejidad 
acompañamientos visuales 
ajuste del cronograma aumentando un a sesión más</t>
  </si>
  <si>
    <t>Se requiere de herramientas de evaluación más accesibles para la población 
se requieres de mayor claridad en la socialización del cronograma y alineación de expectativas 
se requiere de herramientas accesibles para estudiantes en distintas etapas del desarrollo</t>
  </si>
  <si>
    <t>UGT: MINA
Provincia: HUARI 
Distrito: HUACHIS
Centro Poblado: AYASH PICHIÚ</t>
  </si>
  <si>
    <t>Serias limitaciones de accesibilidad en la zona, Incluso para el tránsito a pie, lo que dificultó el desplazamiento
Escasa movilidad
Situaciones de hostigamiento verbal por parte de trabajadores de la zona durante los desplazamientos
Baja participación inicial de las familias 
Dificultades en el el desarrollo previo de la lectoescritura en familias y estudiantes 
Dificultades en la participación oral por barreras idiomáticas 
Cruce con actividades institucionales 
Conectividad limitada, lo cual dificulta las labores de coordinación y limitó el uso de recurso virtuales</t>
  </si>
  <si>
    <t>Estrategia de apalancamiento con otras actividades institucionales
Adaptación de materiales 
Uso de imágenes y pictogramas, apoyo de personas bilingües en el espacio 
 Reprogramación de actividades 
 Mapeo de personal con cobertura en la institución 
Uso de recursos como andamiaje y moldeamiento</t>
  </si>
  <si>
    <t>Se identifica la necesidad de contar con una movilidad propia del programa para garantizar el traslado seguro del equipo y evitar situaciones de varamiento o retrasos en zonas de difícil acceso
Descontinuar estrategias que requieran desplazamientos por zonas inseguras sin medidas adicionales.
Descontinuar materiales que resulten demasiado complejos para el nivel de lectoescritura local.</t>
  </si>
  <si>
    <t>UGT: MINA
Provincia: HUARI
Distrito: HUACHIS
Centro Poblado: AYASH HUARIPAMPA</t>
  </si>
  <si>
    <t>TÉCNICO INDUSTRIAL</t>
  </si>
  <si>
    <t>Poca predisposición inicial por parte del personal docente 
Limitaciones de accesibilidad en la zona, Incluso para el tránsito a pie, lo que dificultó el desplazamiento
Situaciones de hostigamiento verbal por parte de trabajadores de la zona durante los desplazamientos
Dificultades en el el desarrollo previo de la lectoescritura en estudiantes 
dificultades en la participación oral por barreras idiomáticas 
Cruce con actividades institucionales 
Conectividad limitada, lo cual dificulta las labores de coordinación y limitó el uso de recurso virtuales 
escasa movilidad hacia la zona
Inicio tardió de la implementación</t>
  </si>
  <si>
    <t>considerar las preferencias del docente para facilitar su involucramiento. 
Adaptación de sesiones acorde al tiempo de 
Adaptación de materiales 
Uso de imágenes y pictogramas, apoyo de personas bilingües en el espacio 
Uso de recursos como andamiaje y moldeamiento</t>
  </si>
  <si>
    <t>Se requiere implementar estrategias que fortalezcan la predisposición y el compromiso docente hacia el programa.”
Se identifica la necesidad de contar con una movilidad propia del programa para garantizar el traslado seguro del equipo y evitar situaciones de varamiento o retrasos en zonas de difícil acceso
Descontinuar estrategias que requieran desplazamientos por zonas inseguras sin medidas adicionales.
Descontinuar materiales que resulten demasiado complejos</t>
  </si>
  <si>
    <t>UGT: MINA
Provincia: HUARI
Distrito: HUACHIS
Centro Poblado: SAN CRISTOBAL DE TAMBO</t>
  </si>
  <si>
    <t>Baja participación inicial en los talleres dirigidos a las familias.
El acceso al colegio es dificultoso si se va a pie y costoso si se va en movilidad debido a que no hay muchos carros que ofrezcan movilidad.
Los colegios tienen wi fi, sin embargo, el acceso a ello muchas veces no hay buena red.
Los equipos como el proyector son desfasados con las laptops actuales.
Cruce con actividades propias del colegio.
Inicio tardío de la implementación</t>
  </si>
  <si>
    <t>Adaptación de las sesiones tomando en cuenta al público objetivo. Mediante el diseño instruccional.
Contratar a la movilidad con un día de anticipación mínimo.
Tener un operador Claro o Movistar con un plan postpago de internet ilimitado.
Tener preparado un plan B, si en el caso no se pueda utilizar el proyector de la institución o realizar la sesión con materiales físicos.
Compartir la calendarización de actividades con los miembros de otros proyectos que también estén ejecutando sus actividades en el mismo colegio o inicial hacia el público objetivo (en este caso las familias).</t>
  </si>
  <si>
    <t>Mantener la comunicación directa con el docente de aula para mantenerse informado de las actividades programadas o reprogramadas del colegio que puedan coincidir con las sesiones del programa.
Debido a la escasa cantidad de movilidad para trasladarse al colegio se sugiere contar con alguna movilidad contratada que pueda llevar, esperar y recoger de los colegios.
Mantener la adaptación tanto de la sesión como de los materiales sin perder el objetivo principal.
Debido a que la población es bilingüe, se debe incorporar encuestas o evaluaciones traducidas al idioma quechua y que los ítems sean cortos, claros y con ejemplos.
Mantener el mapeo de actividades de la institución como también la de otros proyectos con las que se comparten algunos públicos objetivos como las familias.
Continuar metodologías de acción participativa, como también actividades de concientización que ayuden al público objetivo a ser conscientes de la importancia de estos talleres.
se requieres de mayor claridad en la socialización del cronograma y alineación de expectativas</t>
  </si>
  <si>
    <t>UGT: MINA
Provincia: HUARI
Distrito: SAN PEDRO DE CHANA
Centro Poblado: HUANCAYOC</t>
  </si>
  <si>
    <t>Baja participación inicial de las familias 
Dificultades en el desarrollo de la lectoescritura en algunos familiares (en específico los abuelos)
Cruce con actividades propias del colegio.
Incongruencia entre las expectativas del director sobre la frecuencia de visitas al colegio y lo planificado.
Los equipos como el proyector son desfasados con las laptops actuales.
Inicio tardío de la implementación</t>
  </si>
  <si>
    <t>Adaptación de las sesiones tomando en cuenta al público objetivo. Mediante el diseño instruccional.
Tener preparado un plan B, si en el caso no se pueda utilizar el proyector de la institución o realizar la sesión con materiales físicos.
Compartir la calendarización de actividades con los miembros de otros proyectos que también estén ejecutando sus actividades en el mismo colegio o inicial hacia el público objetivo (en este caso las familias).
Pactar una reunión entre el director del colegio, el coordinador del proyecto y el psicólogo del proyecto para aclarar cualquier duda al respecto.</t>
  </si>
  <si>
    <t>Mantener la comunicación directa con el docente de aula para mantenerse informado de las actividades programadas o reprogramadas del colegio que puedan coincidir con las sesiones del programa.
Mantener la adaptación tanto de la sesión como de los materiales sin perder el objetivo principal.
Debido a que la población es bilingüe, se debe incorporar encuestas o evaluaciones traducidas al idioma quechua y que los ítems sean cortos, claros y con ejemplos.
Mantener el mapeo de actividades de la institución como también la de otros proyectos con las que se comparten algunos públicos objetivos como las familias.
Continuar metodologías de acción participativa, como también actividades de concientización que ayuden al público objetivo a ser conscientes de la importancia de estos talleres.
Seguir incorporando metodología de aprendizaje atractivos y adaptados al contexto como la gamificación y la economía de fichas que ayudan a la incorporación de nuevas conductas.</t>
  </si>
  <si>
    <t>UGT: VALLE FORTALEZA
Provincia: BOLOGNESI
Distrito: ANTONIO RAYMONDI
Centro Poblado: RAQUIA</t>
  </si>
  <si>
    <t>Primaria y secundaria</t>
  </si>
  <si>
    <t>Los padres de familia se reúnen de forma global (primaria y secundaria) con una frecuencia semestral
La programación de las Ferias comunitarias confluían con otras actividades programadas por la dirección, lo que mermó la participación de la comunidad educativa</t>
  </si>
  <si>
    <t>Coordinar con la directora y los tutores para convocar a la escuela de padres en el mismo día de la entrega de libretas
Ampliar el tiempo programado para la Feria comunitaria para que los estudiantes puedan participar</t>
  </si>
  <si>
    <t>Comprometer a los docentes asignados al comité de tutoría para fortalecer las convocatorias a talleres o escuelas de padres.
Fortalecer la coordinación con la dirección para que la Feria pueda ubicarse en su POI</t>
  </si>
  <si>
    <t>UGT: VALLE FORTALEZA
Provincia: BOLOGNESI
Distrito: CAJACAY
Centro Poblado: CAJACAY</t>
  </si>
  <si>
    <t>Los padres de familia no suelen tener reuniones que engloban todo un nivel (primaria o secundaria) o reuniones generales de padres de familia.
Los estudiantes de 1ro de secundaria presentan conductas disruptivas que no permiten el adecuado desarrollo de las sesiones
En la I.E. no es común contar con reuniones colegiadas o de docentes, lo que dificulta la aceptación a tener talleres por las tardes</t>
  </si>
  <si>
    <t>Solicitar soporte al equipo de Enseña Perú para coaccionar junto con el tutor de aula y favorecer el desarrollo de las sesiones</t>
  </si>
  <si>
    <t>Fortalecer la coordinación con la dirección para mejorar la comunicación y convocatoria de los docentes y padres de familia a las sesiones socioemocionales.</t>
  </si>
  <si>
    <t>UGT: VALLE FORTALEZA
Provincia: BOLOGNESI
Distrito: CAJACAY
Centro Poblado: SANTA ROSA</t>
  </si>
  <si>
    <t>Los tutores de aula no se involucran en el desarrollo de las sesiones con los estudiantes
Las actividades que pueda tener la I.E. (Feria de ciencias, día del logro, campeonato) origina la cancelación de los talleres cuando el facilitador llega a la I.E.</t>
  </si>
  <si>
    <t>Solicitar soporte al equipo de EPE y el director para reforzar el compromiso de los docentes
Escribir o llamar a los tutores un día antes para corroborar que no habrán actividades que afecten la sesión de tutoría.</t>
  </si>
  <si>
    <t>Contar con una reunión previa con los tutores para comprometer su participación</t>
  </si>
  <si>
    <t>Actividades programadas</t>
  </si>
  <si>
    <t>Actividades ejecutadas</t>
  </si>
  <si>
    <t>Comentarios</t>
  </si>
  <si>
    <t>Sesiones familias: 3
Sesiones docentes: 3
Sesiones estudiantes: 5
Sesiones comunidad: 0
Ferias: 2</t>
  </si>
  <si>
    <t>Sesiones familias: 2
Sesiones docentes: 2
Sesiones estudiantes: 6
Sesiones comunidad: 0
Ferias: 2</t>
  </si>
  <si>
    <t>Se programó una sesión de refuerzo al final del módulo I.
Tercera sesión con familia y docentes no se realizó por actividades de la promoción de 6to grado.
A la fecha de cierre de este informe se tiene agendada y coordinada la segunda feria.</t>
  </si>
  <si>
    <t>Sesiones familias: 1
Sesiones docentes: 1
Sesiones estudiantes: 6
Sesiones comunidad: 0
Ferias: 1</t>
  </si>
  <si>
    <t>Se programó una sesión de refuerzo al final del módulo I.
Los talleres con familias fueron planificados y convocados por la directora pero no se tuvo asistencia.
Docentes no respondieron de manera activa a la propuesta de talleres después de su jornada laboral.</t>
  </si>
  <si>
    <t>Sesiones familias: 1
Sesiones docentes: 2
Sesiones estudiantes: 5
Sesiones comunidad: 0
Ferias: 1</t>
  </si>
  <si>
    <t>No se programó refuerzos, inicio de actividades tardó. 
Se realizó un taller con familias de 1ro sec y dos charlas con 5to y 6to grado.</t>
  </si>
  <si>
    <t>Sesiones familias: 2
Sesiones docentes: 2
Sesiones estudiantes: 6
Sesiones comunidad: 0
Ferias: 1</t>
  </si>
  <si>
    <t>Se programó una sesión de refuerzo al final del módulo I.
El taller 3 con familias y docentes no se realizó por actividades en la IE.</t>
  </si>
  <si>
    <t>UGT: HUARMEY 
Provincia: HUARMEY 
Distrito: HUARMEY 
Centro Poblado: 9 DE 
OCTUBRE</t>
  </si>
  <si>
    <t>Sesiones familias: 6 
Sesiones docentes: 8 Sesiones estudiantes: 5 Sesiones comunidad: 0 Ferias: 1</t>
  </si>
  <si>
    <t>Sesiones familias: 3 
Sesiones docentes: 5 Sesiones estudiantes:5 Sesiones comunidad: 0 Ferias: 1</t>
  </si>
  <si>
    <t>Se redujo la cantidad de sesiones debido a la disponibilidad limitada de tiempo de los actores educativos (familias y docentes).</t>
  </si>
  <si>
    <t>UGT: HUARMEY 
Provincia: HUARMEY 
Distrito: HUARMEY 
Centro Poblado: PUERTO HUARMEY</t>
  </si>
  <si>
    <t>INDUSTRIAL 
PILOTO MIGUEL GRAU</t>
  </si>
  <si>
    <t>UGT: MINA
Provincia: HUARI
Distrito: HUACHIS
Centro Poblado: AYASH PICHIU</t>
  </si>
  <si>
    <t>Sesiones familias:4
Sesiones docentes:4
Sesiones estudiantes:10
Sesiones comunidad: 0
Ferias:1</t>
  </si>
  <si>
    <t>Sesiones familias:4
Sesiones docentes:4
Sesiones estudiantes:14
Sesiones comunidad: 
Ferias:</t>
  </si>
  <si>
    <t>Debido a las características de la zona, se consideró un avance modular para las familias + una sesión de presentación. Asimismo, se agregaron sesiones con estudiantes: una en segundo módulo y otra al finalizar</t>
  </si>
  <si>
    <t>UGT: MINA
Provincia: HUARI
Distrito: SAN MARCOS
Centro Poblado: AYASH HUARIPAMPA</t>
  </si>
  <si>
    <t>Sesiones familias:2
Sesiones docentes:0
Sesiones estudiantes: 3
Sesiones comunidad: 0
Ferias: 0</t>
  </si>
  <si>
    <t>Sesiones familias:1
Sesiones docentes:
Sesiones estudiantes:3
Sesiones comunidad: 
Ferias: 0</t>
  </si>
  <si>
    <t>Debido al inicio tardía del programa en esta institución, solo se consideraron 3 sesiones para estudiantes contemplando un avance modular y dos escuelas de padres. Cada una quedó a cargo de 1 proyecto distinto de la zona.</t>
  </si>
  <si>
    <t>UGT: MINA
Provincia: HUARI
Distrito: SAN PEDRO DE CHANA
Centro Poblado: SANTA CRUZ DE PICHIU</t>
  </si>
  <si>
    <t>Sesiones familias: 4
Sesiones docentes:4
Sesiones estudiantes:5
Sesiones comunidad: 0
Ferias:1</t>
  </si>
  <si>
    <t>Sesiones familias:5
Sesiones docentes:4
Sesiones estudiantes:7
Sesiones comunidad: 
Ferias:1</t>
  </si>
  <si>
    <t>En relación a las sesiones de familias. se programó un avance de estrategia modular + una sesión de presentación. Al final del proyecto se solicitó hacer una sesión más de clausura 
En relación con los estudiantes, se consideró agregar dos sesiones adicionales: una en el segundo módulo y otra de cierre
La feria se realizó en de manera conjunta con otra institución educativa</t>
  </si>
  <si>
    <t>UGT: MINA
Provincia: HUARI
Distrito: SAN PEDRO DE CHANA
Centro Poblado: VISTOSO</t>
  </si>
  <si>
    <t>Sesiones familias:4
Sesiones docentes:4
Sesiones estudiantes: 10 
Sesiones comunidad: 0
Ferias:1</t>
  </si>
  <si>
    <t>Sesiones familias: 6
Sesiones docentes:4
Sesiones estudiantes: 14
Sesiones comunidad: 
Ferias:1</t>
  </si>
  <si>
    <t>Debido a la características contextuales, se contemplaron 3 sesiones dirigidas a familias considerando un avance modular + 1 sesión de presentación. Dichas sesiones reunirían a las familias de las 3 secciones. No obstante, como se usó la estrategia de apalancamiento, en ocasiones, se implementaban sesiones con padres por sección. 
Se contemplaron 10 sesiones con estudiantes considerando unir 4to y 5to de primaria. Se inició de esta forma, en el trayecto se consideró conveniente dictar por separado alas tres secciones (4to, 5to y 6to)
No se programaron actividades con actores comunitarios 
La feria se realizó de manera conjunta con otra institución educativa</t>
  </si>
  <si>
    <t>Sesiones familias: 3
Sesiones docentes: 4
Sesiones estudiantes: 5
Sesiones comunidad: 0
Ferias: 1</t>
  </si>
  <si>
    <t>En articulación con coordinador territorial se indicó que serían 3 talleres implementadas para las familias debido al comienzo tardío de las actividades, con respecto a los talleres implementadas con los docentes debido a las actividades se coordinó junto a ellos 4 sesiones, con respecto a los estudiantes las sesiones no sufrieron modificación y finalmente por el comienzo tardío y la las diversas actividades de los colegio se decidió que se hiciera solo una feria.</t>
  </si>
  <si>
    <t>Sesiones familias: 5
Sesiones docentes: 3
Sesiones estudiantes: 17
Sesiones comunidad: 0
Ferias: 2</t>
  </si>
  <si>
    <t>Sesiones familias: 4
Sesiones docentes: 3
Sesiones estudiantes: 17
Sesiones comunidad: 0
Ferias: 2</t>
  </si>
  <si>
    <t>Se aprovechó, en coordinación con la dirección, la reunión semestral de padres para aplicar la línea base.</t>
  </si>
  <si>
    <t>Sesiones familias: 3
Sesiones docentes: 3
Sesiones estudiantes: 15
Sesiones comunidad: 0
Ferias: 2</t>
  </si>
  <si>
    <t>Se contó con el apoyo de la coordinadora Lorena de QM y la facilitadora Milagros de PDLE para facilitar sesiones con los estudiantes de 1ro de secundaria.</t>
  </si>
  <si>
    <t>Sesiones familias: 4
Sesiones docentes: 4
Sesiones estudiantes: 15
Sesiones comunidad: 0
Ferias: 2</t>
  </si>
  <si>
    <t>Sesiones familias: 3
Sesiones docentes: 4
Sesiones estudiantes: 15
Sesiones comunidad: 0
Ferias: 2</t>
  </si>
  <si>
    <t>Se aprovechó, en coordinación con la dirección y el presidente de Apafa, para aplicar la línea base en la reunión de Apafa mensual de agosto. 
Destaca la participación de PP. FF. (30 en promedio) que simboliza el 40% de PP. FF.</t>
  </si>
  <si>
    <t>Sesiones de acompañamiento socioemocional: 3</t>
  </si>
  <si>
    <t>En coordinación con el director y el programa PDLD se elaboró y aplicó un plan de acompañamiento socioemocional para 03 estudiantes de 3ro de secundaria en base al Protocolo 05</t>
  </si>
  <si>
    <t>Tipo de actividad</t>
  </si>
  <si>
    <t>Programado</t>
  </si>
  <si>
    <t>Ejecutado</t>
  </si>
  <si>
    <t>% Logro</t>
  </si>
  <si>
    <t>Sesiones con familias</t>
  </si>
  <si>
    <t>Sesiones con docentes</t>
  </si>
  <si>
    <t>Sesiones con estudiantes</t>
  </si>
  <si>
    <t>Sesiones comunitarias</t>
  </si>
  <si>
    <t>Ferias</t>
  </si>
  <si>
    <t>Sesiones 
comunitarias</t>
  </si>
  <si>
    <t>Sesiones de acompañamiento socioemocional</t>
  </si>
  <si>
    <t>Resultados cuantitativos (niveles de desarrollo / promedio observación de la evidencia )</t>
  </si>
  <si>
    <t>Resultados cualitativos</t>
  </si>
  <si>
    <t>Estudiantes: 
- Al inicio de la intervención, el 80% de los estudiantes presentaba una capacidad emergente en la competencia de Autoconciencia. Al concluir el proceso, se evidenció un avance significativo: el 40% de los estudiantes se ubicó en nivel de avance y el 40% logró desarrollar plenamente dicha capacidad.
Familias:
- Las familias iniciaron con un 60% de desarrollo en la capacidad de autoconciencia y autorregulación emocional. Hacia el final de la intervención, se alcanzó un 100% en nivel de desarrollo, reflejando una mejora integral en esta competencia.
Docentes:
El 66.7% de los docentes inició en nivel de desarrollo de la capacidad de autoconciencia emocional y autorregulación. Al finalizar la intervención, el 75% se encontraba en proceso de consolidación de dicha capacidad, mostrando avances en su comprensión y aplicación.
Institución Educativa:
-La participación de la institución educativa en la experiencia del proyecto ha permitido visibilizar con mayor claridad la importancia de la educación emocional.</t>
  </si>
  <si>
    <t>Al iniciar, los estudiantes mostraban una comprensión básica de sus emociones. Conforme avanzó la intervención, el grupo comenzó a identificar con mayor claridad lo que sentían y a relacionarlo con situaciones específicas de su vida escolar y personal. Y empezaron a compartir en plenaria sus emociones y experiencias. 
Hacia el final de la intervención, esta capacidad aumentó, dándose soporte entre ellos cuando era necesario, con frases de ánimo y apelando a sus propias vivencias para ayudarse mutuamente en la gestión de emociones.
Este progreso ha favorecido el incremento en su conciencia social, al mostrar mayor empatía y comprensión frente a las emociones de los demás.
En el caso de las familias, el proceso formativo generó que lograran comprender mejor cómo sus emociones y pensamientos influyen en la dinámica del hogar, así como identificar sus propios recursos emocionales para enfrentar situaciones retadoras. 
Al finalizar, las familias participantes demostraron mayor apertura al diálogo y apoyo a sus hijos para promover un entorno afectivo estable.
En los docentes se dio el fortalecimiento gradual de su autoconciencia emocional. Aunque muchos iniciaron con poca expresión de sus estados de ánimo durante las sesiones, el proceso formativo contribuyó a que pudieran analizar de manera más consciente sus reacciones, identificar fuentes de estrés y ajustar sus respuestas frente a situaciones del aula.
La participación de la institución educativa en el proyecto permitió hacer más evidente la importancia de reconocer y expresar emociones de manera abierta y respetuosa. De esta manera, la escuela fortaleció su rol como espacio que facilita el aprendizaje y promueve actividades para una cultura de paz.</t>
  </si>
  <si>
    <t>Estudiantes:
- Al inicio de la intervención, el 16.3% de los estudiantes se encontraba en el nivel de desarrollo de la competencia de autoconciencia. Al finalizar el proceso, este porcentaje aumentó a 20%. Asimismo, la disminución en el grupo ubicado en el nivel emergente, se traduce en estudiantes que avanzaron hacia los niveles de “en proceso” y “desarrollado”.
Familias:
- Respecto a las familias, debido a la baja asistencia y permanencia durante las actividades, solo fue posible realizar una primera medición. Esta sugiere que la competencia de toma de decisiones responsables obtuvo la puntuación más alta con tendencia hacia la consolidación.
Docentes: 
- En relación con las competencias de autoconciencia emocional y autorregulación, los docentes iniciaron con un 33.3% en nivel desarrollado. Al término de la intervención, este porcentaje se elevó a 50%, reflejando avances en la identificación de sus emociones, así como en el manejo y modulación de las mismas dentro del contexto educativo.
Institución educativa:
- La participación de la institución educativa en la experiencia del proyecto ha permitido visibilizar con mayor claridad la importancia de la educación emocional.</t>
  </si>
  <si>
    <t>El avance observado en la competencia de autoconciencia, del 16.3% al 20% en el nivel de desarrollo, junto con la reducción del porcentaje de estudiantes en el nivel emergente, sugiere que los participantes comenzaron a reconocer con mayor claridad sus emociones, identificar situaciones que las desencadenan y verbalizar estados internos de manera más precisa. Este desplazamiento hacia los niveles “en proceso” y “desarrollado” indica que los estudiantes iniciaron un proceso gradual de fortalecimiento de su capacidad de autoobservación, elemento fundamental para la autorregulación emocional y la construcción de relaciones interpersonales saludables.
Si bien la participación familiar fue limitada, la medición obtenida permite identificar que la competencia de toma de decisiones responsables se ubicó como la más sólida en este grupo. Esta tendencia sugiere que las familias cuentan con criterios relativamente estables para evaluar situaciones, considerar consecuencias y optar por alternativas que favorezcan el bienestar individual y colectivo. 
Cualitativamente, los docentes mostraron mayor apertura para reflexionar sobre su bienestar emocional, reconocer cómo sus estados afectivos impactan en el clima del aula y emplear estrategias de regulación más efectivas en situaciones de tensión. Este avance también se vincula con una mejor disposición para aplicar habilidades relacionales, especialmente en el trato con estudiantes, el manejo de conflictos y la promoción de interacciones respetuosas. 
La participación activa de la institución educativa permitió visibilizar la relevancia de integrar la educación emocional como un componente transversal en la formación de estudiantes, docentes y familias.</t>
  </si>
  <si>
    <t>Estudiantes:
- En el grupo de estudiantes, el 22.5% se encontraba en el nivel emergente de la competencia autoconciencia; al concluir la intervención, el 41.2% se encontró en el nivel desarrollado de esta misma competencia.
Familias:
- Respecto a las familias, debido a la baja asistencia y permanencia durante las actividades, solo fue posible realizar una primera medición. Esta sugiere que la competencia de toma de decisiones responsables obtuvo la puntuación más alta con tendencia hacia la consolidación.
Docentes: 
- En el caso del equipo docente, la capacidad de autoconciencia y la autorregulación emocional inició con el 50% de participantes ubicados entre los niveles “en proceso” y “desarrollado”. Al finalizar la intervención, la totalidad de los docentes (100%) alcanzó el nivel desarrollado.
Institución educativa:
- El poco respaldo que se recibió de la IE especialmente en el nivel secundario se refleja en el bajo nivel de participación de las familias de ese nivel y que se extiende a otros niveles.</t>
  </si>
  <si>
    <t>Al inicio, gran parte del grupo de estudiantes mostraba dificultades para identificar sus emociones y comprender cómo estas influían en su comportamiento cotidiano. Sin embargo, hacia el cierre de la intervención, se observó que un número considerable de estudiantes logró reconocer con mayor claridad sus estados emocionales, expresarlos con mayor seguridad e iniciar el proceso de reflexionar sobre la relación entre sus pensamientos, sentimientos y acciones.
En el caso de las familias, aunque su participación fue limitada, los primeros acercamientos permitieron identificar que muestran mayor claridad en la dimensión de toma de decisiones responsables. Aquellas familias que participaron lograron expresar la importancia de orientar sus decisiones hacia el bienestar familiar y el desarrollo emocional de sus hijos.
De otro lado, en el equipo docente se observó diferencias en la forma en que reconocían sus emociones y gestionaban situaciones difíciles en el aula. Con el avance de la intervención, los docentes fortalecieron su capacidad para identificar sus propias reacciones emocionales e intentar gestionar de manera más adaptativa los desafíos cotidianos. Este crecimiento se reflejó en comprender la importancia de interacciones más empáticas con los estudiantes y en un mayor uso de estrategias para sostener un clima de aula respetuoso.
El acompañamiento institucional mostró limitaciones, especialmente en el nivel secundario, donde la baja participación afectó la vinculación de las familias y, en consecuencia, la coherencia de los procesos formativos. Pese a ello, la intervención permitió identificar puntos de avance en su reflexión sobre el impacto de las propias acciones.</t>
  </si>
  <si>
    <t>Estudiantes:
- Al inicio de la intervención, el 69.2% de los estudiantes se ubicaba en un nivel emergente de la competencia habilidades relacionales. Al culminar el proceso, se evidenció un ligero avance, alcanzando un 70% en el nivel de desarrollo de dicha competencia.
Familias:
- A la fecha, no se cuenta con información registrada respecto a la participación o progresos de las familias.
Docentes:
- Los docentes iniciaron el proceso con un 22.2% en nivel de desarrollo de la competencia habilidades para relacionarse. Hacia la última interacción realizada, este porcentaje se incrementó, alcanzando un 77.8%. No obstante, no se dispone de información final, debido a que el tercer taller previsto no llegó a ejecutarse.
Institución educativa:
- En la institución educativa se permitió la organización de actividades que conciliaron la dinámica familiar, caracterizada por extensas jornadas laborales en el campo, con la participación en las acciones formativas de la intervención. En ese sentido, se programaron talleres los días domingo, por contar con asistencia.</t>
  </si>
  <si>
    <t>Este proceso permitió identificar que los estudiantes se encontraban inicialmente en un nivel emergente de la competencia de habilidades relacionales. Si bien el avance cuantitativo registrado fue leve, se observó que los estudiantes comenzaron a mostrar mayor apertura para interactuar con sus pares y participar en actividades grupales. 
No se cuenta con información registrada suficiente que dé cuenta del progreso de las familias. La limitada asistencia y participación dificultaron el seguimiento cualitativo de su involucramiento en la intervención. 
En el caso de los docentes, se observó una mayor ejecución de prácticas orientadas a la construcción de relaciones positivas con los estudiantes. Durante las sesiones realizadas, mostraron una disposición creciente para conocer estrategias que faciliten la resolución pacífica de conflictos y la promoción de un clima de aula más empático. No obstante, la falta de un tercer taller programado limitó la consolidación y evaluación final de estos avances.
La institución educativa demostró flexibilidad y compromiso al implementar mecanismos organizativos que consideraran las demandas laborales y domésticas de las familias, particularmente aquellas vinculadas al trabajo en el campo. Si bien, la decisión de programar los talleres los días domingo, no garantizó la asistencia continua, evidenció un esfuerzo institucional por promover el fortalecimiento de habilidades relacionales a nivel comunitario.</t>
  </si>
  <si>
    <t>Estudiantes: 
- 75% de estudiantes culminaron en nivel Desarrollado las “Habilidades 
Relacionales”. 
Familias: 
- 80% de las familias que participaron culminaron en el nivel “Desarrollado”de la habilidad “Autoconciencia y 
autorregulación emocional”. 
Docentes: 
- 100% de los docentes participantes lograron un avance al nivel “Desarrollado” de la habilidad ”Toma de decisiones” 
Institución educativa: 
La IE mostró avances moderados en el desarrollo de las habilidades CASEL.</t>
  </si>
  <si>
    <t>La mayoría de estudiantes presenta avances en la forma en la que se relacionan optando por una comunicación asertiva y respetuosa. Ello se observa en el uso de la técnica “El Nemo de la asertividad” para expresarse en situaciones que desencadenan diversas emociones como enojo, alegría, tristeza, etc. 
El avance observado en las familias evidencia que están logrando identificar y comprender con mayor precisión una gama de emociones y estados de ánimo. Esto se observa en su capacidad para reconocer las emociones que experimentan en su vida cotidiana desde los distintos roles que desempeñan. 
Los tres docentes que conforman el equipo de la IE evidencian un progreso en la habilidad de tomar decisiones, entendida como la capacidad de elegir de manera informada y reflexiva, considerando factores éticos, de seguridad, sociales, personales y colectivos. Esto se observa en su decisión de fortalecer el trabajo colaborativo e involucrar de manera más activa a los padres de familia, incluso cuando este proceso puede exigir un esfuerzo constante. y adicional. 
El 35% de los docentes aplican las habilidades de la técnica RULER, basada en cinco competencias de conciencia y regulación emocional. Cada día, al iniciar las clases, utilizan el medidor emocional para identificar cómo se sienten, comenzando por reconocer su nivel de energía y grado de comodidad. Luego, asignan una etiqueta a la emoción en función de esos indicadores.
Finalmente, decide cada uno cómo desea ser acompañado(a) desde esa emoción, favoreciendo una gestión emocional más consciente y eficaz.</t>
  </si>
  <si>
    <t>Estudiantes: 
- 71.9% de estudiantes culminaron en nivel Desarrollado la habilidad de “Toma de decisiones”. 
Familias: 
- 82.6% de las familias que participaron culminaron en el nivel “Desarrollado”de la habilidad “Toma de decisiones”. 
Docentes: 
- 100% de los docentes participantes lograron un avance al nivel “Desarrollado” de la habilidad ”Toma de decisiones” 
Institución educativa: 
- La IE mostró avances moderados en el desarrollo de las habilidades CASEL.</t>
  </si>
  <si>
    <t>La mayoría de los estudiantes demuestra una toma de decisiones responsable, evaluando las posibles consecuencias antes de actuar. Esto se refleja en el uso de la técnica del “1, 2 y 3 de las decisiones” . Al inicio del proyecto, muchos mencionaron que para decidir necesitaban consultar a otra persona o que tendían a pensar demasiado. Sin embargo, ahora comprenden la técnica y reconocen que el segundo paso implica reflexionar, pero no sobrepensar, sino enfocarse en analizarlas consecuencias de cada opción. 
Las familias han logrado fortalecer su habilidad para la toma de decisiones, lo que implica evaluar tanto los posibles pros y contras, así como las consecuencias a corto y largo plazo. Este avance se evidencia en el uso de la técnica del semáforo de las emociones , la cual promueve la reflexión y la conciencia al momento de elegir. Gracias a esta herramienta, las familias pueden reconocer desde quéemoción están decidiendo y hacia dónde las puede conducir cada elección, favoreciendo decisiones más equilibradas y responsables. 
La mayoría de los docentes mostraron avances en la habilidad de tomar decisiones, lo que significa que priorizan el bienestar personal y colectivo,.Esto se refleja enel compromiso asumido durante el último módulo, en el que acordaron promover el apoyo mutuo dentro de la comunidad educativa 
En este último módulo se evidencia una mayor disposicióndel equipo docente para trabajar de manera colaborativa. Este avance resulta significativo, considerando que previamente se habían identificado algunas diferencias</t>
  </si>
  <si>
    <t>Estudiantes:
-42.1% de estudiantes culminaron en un nivel desarrollado de la habilidad “Autoconciencia, 
52.6% de estudiantes culminaron en un nivel desarrollado de la habilidad de autocontrol 
44.7% de estudiantes culminaron en un nivel desarrollado de la habilidad de conciencia social 
63.2% de estudiantes culminaron en un nivel desarrollado de la habilidad de habilidades relacionales 
65.8% d estudiantes culminaron el programa en un nivel desarrollado fr la habilidad de toma de decisiones 
Familias:
83.3% de las familias que participaron culminaron en el nivel “Desarrollado”de la habilidad de autoconciencia 
 66.7% de las familias que participaron culminaron en un nivel desarrollado de habilidades relacionales 
91.7% de las familias que participaron culminaron en un nivel desarrollado de toma de decisiones 
Docentes: 
el 100% de los docentes que participaron del programa culminaron en el nivel “Desarrollado”de la habilidad de autoconciencia 
 el 100% de los docentes que participaron del programa culminaron en el nivel “Desarrollado”de las habilidades relacionales 
el 100% de los docentes que participaron del programa culminaron en el nivel “Desarrollado”de la habilidad de toma de decisiones</t>
  </si>
  <si>
    <t>La mayoría de estudiantes presenta avances en la forma en cómo gestionan sus emociones a comparación de la evaluación de inicio, las evidencias observables sobre esto son: 
Se observa un cambio de actitud en las familias, poseen mayor claridad sobre crianza positiva en comparación con la evaluación inicial. Un gran porcentaje de familias implementa estrategias para la crianza respetuosa, y el otro grupo restante hace intentos por aplicar (se destaca la intención). Se evidencia mayor participación de las familias en los espacios formativos de sus hijos, conversan más seguido con los docentes sobre el comportamiento de sus hijos en clase.
La gran mayoría de docentes se ha alineado a la propuesta CASEL, perciben mejoras en el comportamiento externalizante de los niños y niñas, han notado cambios positivos en cuanto la cultura de aula. Asimismo, 60% de los docentes han incorporado estrategias dentro de sus experiencias de aprendizaje.
En cuanto a la IE, se evidencian rutinas alineadas al desarrollo de habilidades socioemocionales de manera visibles dentro de las estrategias promovidas desde dirección, se han incorporado estrategias y acciones dentro de los documentos de gestión institucional, se ha actualizado la visión institucional y se ha implementado el enfoque socioemocional.</t>
  </si>
  <si>
    <t>Estudiantes:
38’5% % de estudiantes culminaron en un nivel desarrollado de la habilidad “Autoconciencia, mientras que un 53.8% se encuentra en proceso de desarrollar dicha habilidad 
30.8 % de estudiantes culminaron en un nivel desarrollado de la habilidad de autocontrol, mientras que 61.5% se encuentran en proceso de desarrollar dicha habilidad 
46.2% de estudiantes culminaron en un nivel desarrollado de la habilidad de conciencia social 
46.2% de estudiantes culminaron en un nivel desarrollado de la habilidad de habilidades relacionales 
53.8% de estudiantes culminaron el programa en un nivel desarrollado fr la habilidad de toma de decisiones 
Familias:
100% de las familias que participaron culminaron en el nivel “Desarrollado”de la habilidad de autoconciencia 
 100% de las familias que participaron culminaron en un nivel desarrollado de habilidades relacionales 
100% de las familias que participaron culminaron en un nivel desarrollado de toma de decisiones 
Docentes: 
- el 100% de los docentes que participaron del programa culminaron en el nivel “Desarrollado”de la habilidad de autoconciencia 
 el 100% de los docentes que participaron del programa culminaron en el nivel “Desarrollado”de las habilidades relacionales 
el 100% de los docentes que participaron del programa culminaron en el nivel “Desarrollado”de la habilidad de toma de decisiones
Institución educativa:
-</t>
  </si>
  <si>
    <t>Se observan logros importantes enos estudiantes respecto al desarrollo de habilidades. Así, logran nombrar emociones y reconocer las consecuencias de estas en su conducta, lo que refleja un progreso en su autoconciencia. En cuanto al autocontrol, conocen y utilizan estrategias de regulación emocional en su día a día, como respirar profundo, tomar agua o caminar, y las aplican de manera autónoma. Respecto a la conciencia social, identifican frases y formas adecuadas de acercarse a otras personas para brindar soporte, convivir mejor y resolver conflictos 
En el caso de las familias, se evidencia una mejora clara. A diferencia del inicio, ahora comprenden con mayor precisión términos como autorregulación y participan con más seguridad en las actividades. También se observa un incremento en su vocabulario emocional, mayor apertura para hablar sobre lo que sienten y más disposición para acompañar emocionalmente a sus hijos. Señalan que cuentan con más herramientas para brindar soporte, tanto a sus hijos como a otras personas de su entorno.</t>
  </si>
  <si>
    <t>UGT: MINA
Provincia: HUARI
Distrito: Huachis
Centro Poblado: AYASH HUARIPAMPA</t>
  </si>
  <si>
    <t>Estudiantes:
- 
53.8% de los estudiantes culminaron alcanzando un nivel desarrollado de la habilidad “Autoconciencia,
53.8% de los estudiantes culminaron alcanzando un nivel desarrollado de la habilidad de autocontrol, 
38.5% de estudiantes culminaron en un nivel desarrollado de la habilidad de conciencia social 
61.5% de estudiantes culminaron en un nivel desarrollado de la habilidad de habilidades relacionales 
38.5% de estudiantes culminaron el programa en un nivel desarrollado de la habilidad de toma de decisiones 
-</t>
  </si>
  <si>
    <t>Estudiantes:
83.3% de estudiantes culminaron en un nivel desarrollado de la habilidad “Autoconciencia, 
50.0% de estudiantes culminaron en un nivel desarrollado de la habilidad de autocontrol 
66.7% de estudiantes culminaron en un nivel desarrollado de la habilidad de conciencia social 
83.3% de estudiantes culminaron en un nivel desarrollado de la habilidad de habilidades relacionales 
66.7% de estudiantes culminaron el programa en un nivel desarrollado de la habilidad de toma de decisiones 
Familias:
50% de las familias que participaron culminaron en el nivel “Desarrollado”de la habilidad de autoconciencia 
 50% de las familias que participaron culminaron en un nivel desarrollado de habilidades relacionales 
75% de las familias que participaron culminaron en un nivel desarrollado de toma de decisiones 
Docentes: 
- el 100% de los docentes que participaron del programa culminaron en el nivel “Desarrollado”de la habilidad de autoconciencia 
 el 100% de los docentes que participaron del programa culminaron en el nivel “Desarrollado”de las habilidades relacionales 
el 100% de los docentes que participaron del programa culminaron en el nivel “Desarrollado”de la habilidad de toma de decisiones
-</t>
  </si>
  <si>
    <t>En el caso de los estudiantes, pueden identificar y nombrar emociones con mayor precisión, incluyendo el correlato fisiológico asociado a ellas (cómo se sienten en el cuerpo). Se observa un bagaje más amplio de estrategias y actividades para calmarse, así como diversas conductas orientadas a brindar soporte entre pares, resolver conflictos y mantener una convivencia positiva. En la toma de decisiones, hacen referencia a algunos de los pasos involucrados en este proceso.
En cuanto a las familias, se observa una mayor apertura a experimentar y nombrar emociones desagradables, especialmente durante procesos de toma de decisiones. Valoran contar con un espacio para pensar antes de actuar y reconocen la importancia de considerar experiencias pasadas. Asimismo, han empezado a otorgar mayor relevancia al desarrollo de las habilidades socioemocionales trabajadas, que al inicio del programa no eran vistas como prioritarias.
Respecto a los docentes, muestran una ampliación notable en su vocabulario emocional y cuentan con un repertorio más variado de estrategias de regulación, lo que fortalece el acompañamiento socioemocional que brindan en el aula.</t>
  </si>
  <si>
    <t>Estudiantes:
- 80% de estudiantes culminaron en nivel Desarrollado de la habilidad “Autocontrol y conciencia social”.
Familias:
- 100% de los docentes participantes notaron avances en la habilidad “Autoconciencia emocional y autorregulación”.
Docentes: 
- 100% de los docentes participantes notaron avances en la habilidad “Autoconciencia emocional y autorregulación”.</t>
  </si>
  <si>
    <t>Los estudiantes evidencian el desarrollo de estas habilidades al demostrar mayor capacidad para identificar cómo se sienten y regular sus emociones mediante estrategias como la respiración, el diálogo y el juego. Se observa también un aumento en conductas empáticas: reconocen cómo se sienten sus compañeros a través de gestos y expresiones, ofrecen ayuda cuando alguien está triste.
Las familias reconocen las emociones que tienen cuando se les pregunta qué emoción y cómo es que reconocen esa emoción en el día a día. Durante los talleres cuando se les consulta como intervienen cuando sus hijos tienen conductas inadecuadas responden que lo primero es reconocer cómo se sienten y luego calmarse dando un espacio o respirando profundamente. 
Los docentes evidencian estas habilidades al reflexionar de manera más profunda sobre sus propias emociones y reconocer cómo influyen en su práctica educativa. Además, muestran una actitud empática y abierta al diálogo con colegas y estudiantes.</t>
  </si>
  <si>
    <t>Estudiantes:
- 41.7% de estudiantes culminaron en nivel Desarrollado de la habilidad “Autocontrol”.
Familias:
- 85.7% de las familias que participaron culminaron en el nivel “Desarrollado”de la habilidad “Habilidades relacionales”.
Docentes: 
- 100 % de los docentes participantes notaron avances en la habilidad “Autoconciencia emocional y autorregulación”</t>
  </si>
  <si>
    <t>Los estudiantes evidencian la habilidad de autocontrol al reconocer cuándo están molestos o frustrados y aplicar estrategias para regularse, como respirar profundamente, alejarse un momento, conversar con un compañero o utilizar actividades tranquilizadoras. 
Las familias demostraron habilidades relacionales fortalecidas al comunicarse con mayor serenidad, escuchar activamente durante los talleres ejecutados. Se evidenció mayor apertura al participar en conversaciones y actividades colaborativas. También mostraron más capacidad para comprender el punto de vista del otro, lo que favoreció interacciones más respetuosas.
Los docentes evidencian estas habilidades al momento de relacionarse con los estudiantes dentro y fuera de las aulas, en la forma de expresarse y lo que realizan antes de actuar, como respirar. Además, gestionan mejor la frustración, evitan respuestas impulsivas y sostienen interacciones más empáticas con estudiantes escuchándolos y dándoles apertura para hablar.</t>
  </si>
  <si>
    <t>UGT: HUARMEY
Provincia: HUARMEY
Distrito: HUARMEY
Centro Poblado: 9 DE OCTUBRE</t>
  </si>
  <si>
    <t>Estudiantes:
- 80% de estudiantes culminaron en nivel Desarrollado de la habilidad “Autorregulación”.
Familias:
- 50% de las familias que participaron culminaron en el nivel “Desarrollado”de la habilidad “Habilidades relacionales”.
Docentes: 
- 60% de los docentes participantes notaron avances en la habilidad “Autoconciencia”
Institución educativa:
- La IE mostró avances respecto de las prácticas en aula, evidenció avances en la participación familiar en los espacios educativos.</t>
  </si>
  <si>
    <t>Estudiantes:
- Al inicio, la competencia “Habilidades relaciones” contaba con un 63% desarrollada. Al final, esa habilidad ascendió a 83% cómo desarrollada, dejando solo un 8% en proceso.
Familias: En la habilidad “Autoconciencia emocional y autorregulación”, los padres de familia contaban con un 40% desarrollado. Posteriormente, se evidencia que dicha habilidad ascendió a 80% desarrollada.
Docentes: 
- El 42% contaba con “Habilidades relaciones” en proceso, lo que indica que requerían de estrategias para fortalecer la convivencia escolar y en su rol de formadores de adolescentes. Al cierre, esta habilidad se situó con un 63% desarrollada.
Institución educativa:
- La I.E. mostró una apertura desde el inicio del proyecto para poder coordinar los espacios formativos con docentes y padres de familia. Asimismo, brindó las facilidades para trabajar en los horarios de tutoría con los estudiantes.</t>
  </si>
  <si>
    <t>Los estudiantes demostraron una mejora en cuanto a la habilidad “Habilidades relacionales”. Esto se evidencia en: mayor aceptación a trabajo en equipo, apoyo entre pares y muestras de solidaridad. Sin embargo, esta habilidad muestra aun resistencia en cuanto a interrelacionarse con el sexo opuesto, debido a que la mayoría de actividades grupales optan por hacerlo con compañeros del mismo sexo. 
En cuanto a los padres de familia, se aprecia un crecimiento en la habilidad de autoconciencia emocional. Ello nos indica que este primer paso para una mejor identificación de las emociones propias y ajenas se consolidó a través de las sesiones formativas. Asimismo, se puede mencionar que al inicio los talleres con PP. FF. tuvo mayor capacidad de convocatoria que al cierre, puesto que en la sesión final solo asistieron 5, de los 30 con los que se contó inicialmente. Finalmente, los padres de familia son conscientes que la expresión y manejo emocional empieza por uno mismo y no por el adolescente, que la comunicación es clave para poder conocer qué emociones experimentan sus hijos.
Se observa una predisposición por parte de los docentes en fortalecer el clima educativo, de tal manera que ellos se puedan beneficiar y consecuentemente la convivencia escolar. Finalmente, los docentes valoran y anhelan la continuidad de los espacios formativos debido a que reconocen la carencia del mismo en la institución.
En global, la I.E. mostró una gran apertura a los espacios formativos (talleres) para estudiantes, PP. FF. y docentes. Sin embargo, en las ferias se requería un mayor compromiso, además de la apertura, para que los estudiantes y docentes puedan participar de una mejor manera</t>
  </si>
  <si>
    <t>Estudiantes:
- El 54% de estudiantes contaba con el nivel desarrollado de la habilidad “Autoconciencia emocional y autorregulación”. Al cierre, esta habilidad ascendió a 80% en el nivel desarrollado.
Familias:
- El 70% de padres de familia contaban con la habilidad “Habilidades relaciones” desarrollada. En contraste, al cierre de los espacios formativos, la habilidad en el nivel desarrollado ascendió al 100%
Docentes: 
- Solo el 50% de los docentes había desarrollado la habilidad “Autoconciencia emocional y autorregulación”, dicho porcentaje subió al 80% al final de la intervención.
Institución educativa:
- La I.E. no contaba con reuniones generales que convoquen a ambos niveles. En el despliegue del proyecto se convocaron a 3 escuelas de padres de familia con una asistencia total de 15 padres de familia.</t>
  </si>
  <si>
    <t>Los estudiantes de primaria presentan una mayor predisposición a trabajar los contenidos del proyecto. Se mostraron participativos y ávidos de fortalecer sus habilidades como la de “Autoconciencia emocional y autorregulación”. Ello se evidenció en su participación y facilitación en las ferias comunitarias: demostraron qué emociones experimentan frente a situaciones cotidianas que antes les era difícil verbalizar debido a la falta de espacios seguros. En contraste, los estudiantes de 1ro de secundaria no mostraban interés en los espacios de tutoría, presentaban conductas disruptivas dentro del aula y esa actitud trascendía los espacios de tutoría. A nivel general, en secundaria hay una amplia gama de problemas educativos y de disciplina que no se están atendiendo.
A nivel de familias, si bien existió un mejora en las habilidades relacionales que se evidencian en que los padres asumen un compromiso para la mejor toma de decisiones en su hogar, ello no se refleja en el compromiso que tienen como acompañantes de sus hijos.
Los docentes muestran una apertura a los espacios formativos con estudiantes. Sin embargo, el equipo docente no cuenta con una programación mensual en donde puedan reunirse a organizar actividades académicas o extracurriculares. En tal sentido, la convocatoria a los espacios fue un gran reto. Sin embargo, los docentes que participaron en los espacios formativos fortalecieron su habilidad de “Autoconciencia emocional y autorregulación” debido a que reconocen que contar con prácticas para gestionar la ira influirá de manera positiva en su rol dentro del aula.</t>
  </si>
  <si>
    <t>Estudiantes:
- El 40% de estudiantes contaban con la habilidad “Autocontrol” en el nivel desarrollado, al cierre del proyecto el porcentaje subió a 70%.
Familias:
- El 39% de padres de familia contaban con la habilidad “Toma de decisiones responsables” desarrollada, al segundo corte (intermedio), la habilidad ascendió a 70%.
Docentes: 
- Existió una variación positiva del 10% en la capacidad desarrollada de la habilidad “Habilidades relacionales” (50% al inicio y 60% al cierre). 
Institución educativa:
- La I,E, demostró un gran compromiso con las actividades programadas. Se desarrollaron ferias masivas que albergaron al 95% de la comunidad educativa</t>
  </si>
  <si>
    <t>Los estudiantes mostraron un genuino interés en los talleres formativos. En cuanto a la habilidad destacada, se puede evidenciar que los estudiantes fortalecieron su toma de decisiones conscientes que no solo conlleva a decidir mejor sobre uno mismo sino sobre el medio en que habitan, así evitan conflictos entre sus pares o en sus hogares.
Los docentes demostraron un compromiso positivo con las habilidades que buscaba fortalecer el proyecto. Fortalecieron la habilidad de la escucha activa y se reflejó cuando los docentes compartieron su testimonio de que no cuentan con la práctica de preguntar a sus estudiantes sobre cómo se sienten (si tuvieron algún problema en casa, están mal de salud) cuando no cumplen una actividad programada, muchas veces por la premura de cumplir sus indicadores o por la falta de confianza con los estudiantes..
El trabajo con las familias fue muy positivo, excepto en la escuela de padres final. En la I.E. se dan espacios mensuales para tratar temas de Apafa y gracias a la coordinación con la junta directiva se contó con el espacio para brindar las charlas.</t>
  </si>
  <si>
    <t>Sugerencias</t>
  </si>
  <si>
    <t xml:space="preserve">1. Prácticas que requieren continuidad
Mantener los talleres dado que mostraron avances claros en la identificación de emociones y la reflexión sobre situaciones cotidianas.
Sostener los talleres que promueven autoconciencia y autorregulación docente, ya que permitieron a muchos participantes reconocer su carga emocional y mejorar su manejo de aula.
Conservar la estrategia de vincular los contenidos a situaciones reales del aula, lo cual facilitó su entendimiento y apropiación.
Mantener las ferias multiprograma como espacios de alta convocatoria, ya que permiten posicionar la salud mental como tema relevante para toda la comunidad educativa.
 	2. Prácticas que requieren ajuste
Incluir todas las actividades del proyecto en el plan anual de las instituciones desde el inicio del año escolar, evitando choques con actividades de cierre.
Ajustar espacios informativos cortos dentro de ferias o actividades de alta asistencia; sesiones dominicales solo donde realmente haya disponibilidad familiar.
Incorporar micro-sesiones o videos breves y cápsulas de información que puedan ser difundidos via medio de comunicación que emplee la escuela.
Elaborar recursos visuales simples (afiches, tarjetas emocionales, cuadernillos breves) que apoyen la comprensión en aulas y hogares con baja alfabetización emocional.
Incorporar instrumentos de observación y registro cualitativo para complementar las mediciones escritas.
Coordinar la medición antes de periodos de sobrecarga institucional, evitando los últimos meses del calendario escolar.
Establecer acuerdos con las direcciones para que la participación de los docentes en los talleres forme parte del plan anual y no sea solo voluntaria.
Favorecer espacios dentro del horario escolar para la capacitación de docentes, reduciendo la resistencia asociada a reuniones fuera de jornada.
Fomentar la integración del enfoque socioemocional en tutoría y actividades cotidianas, evitando que dependa exclusivamente de talleres externos.
Elaborar materiales cortos (volantes, audios por WhatsApp, infografías) que refuercen mensajes clave y eviten discursos repetitivos sin comprensión profunda.
 3. Prácticas que requieren discontinuidad
La convocatoria exclusiva a sesiones de “escuela de padres” ya que no funcionó en comunidades con alta carga laboral y poca disponibilidad.
El envío de fichas o evaluaciones para ser llenadas en el hogar, debido a: respuestas incompletas o ininteligibles, intervención de terceros, uso de herramientas tecnológicas, demora o no devolución.
 	4. Nuevas prácticas o estrategias sugeridas
Incorporar a representantes de APAFA como “agentes multiplicadores” que refuercen mensajes clave entre familias.
Recibir apoyo de enfermeras o promotores de salud como cofacilitadores.
Identificar líderes comunitarios (teniente gobernador, presidentes de rondas) para que refuercen la importancia de la salud mental en sus reuniones periódicas.
</t>
  </si>
  <si>
    <t xml:space="preserve">lgunas sugerencias a considerar para la siguiente propuesta 
- En cuanto a la metodología, se recomienda que sea más sintética, concreta, vivencial y activa. 
- Dado que el grupo de estudiantes cuenta con mayor disponibilidad de tiempo, sería posible ampliar el número de sesiones para fortalecer de manera más profunda las habilidades CASEL. 
- La presencia de estudiantes con diagnóstico o presunto diagnóstico de alteraciones en el desarrollo sugiere que incluir temáticas vinculadas a la educación inclusiva podría aumentar la motivación y participación del equipo docente. 
- Se plantea reducir el número de sesiones dirigidas a docentes y familias, considerando su disponibilidad limitada de tiempo. - Se propone elaborar un plan de trabajo que incorpore intervenciones individuales para el abordaje de casos particulares. 
- En relación con el fortalecimiento de las habilidades CASEL en las familias, se sugiere incorporar, en la medida de lo posible, una modalidad mixta (presencial y virtual) y/o elaborar breves videos que expliquen de manera sencilla los contenidos trabajados en las sesiones
</t>
  </si>
  <si>
    <t xml:space="preserve">A partir de la implementación del proyecto, se identificaron diversas oportunidades de mejora orientadas a fortalecer su pertinencia, alcance y sostenibilidad. 
En relación a los materiales pedagógicos empleados, resulta fundamental adaptar los materiales a la diversidad de capacidades y niveles de aprendizaje mediante la incorporación de principios del Diseño Universal para el Aprendizaje (DUA). Además de desarrollar recursos que puedan ser utilizados tanto en el aula como en el hogar, y que sean aplicables a distintos grados, dado que en el  presente territorio existen colegios de aulas  multigrado. Asimismo, se recomienda utilizar herramientas de evaluación más accesibles para la población, tanto en su formato como en su lenguaje. 
En relación al diseño de la intervención, se sugiere incluir etapas previas de sensibilización comunitaria. En esta misma línea, es importante realizar un levantamiento sistemático de necesidades y prioridades en salud mental de la propia población, así como recoger las demandas específicas de los distintos grupos, de manera que dichas necesidades orienten la planificación y el ajuste de las estrategias. 
Se considera urgente introducir contenidos relacionados con el enfoque de género y la educación sexual integral, trabajados con pertinencia cultural y acorde al contexto local. 
En línea con lo anterior, se evidenció la importancia de repensar y actualizar los protocolos ante eventos de violencia, asegurando rutas claras de denuncia, protección y seguimiento de cada caso, de manera que se garantice una respuesta articulada, oportuna y centrada en la seguridad de las personas involucradas, en especial menores de edad.
Respecto a la predisposición y adhesión al programa, es importante trabajar, en determinadas comunidades como Ayash Huaripampa, estrategias de involucramiento temprano, reconocimiento pedagógico, acompañamiento en aula, modelamiento entre pares y alineación del programa con necesidades reales del quehacer docente para favorecer su participación activa en el proyecto.
Asimismo, la experiencia evidenció la importancia de que la comunidad reconozca y valore primero sus propias estrategias de afrontamiento culturalmente adquiridas antes de incorporar nuevas herramientas socioemocionales, a fin de promover procesos de aprendizaje culturalmente pertinentes. 
En cuenta a la gestión del recurso humano y la seguridad del equipo y condiciones laborales, es importante que Enseña Perú disponga de un medio de transporte propio que garantice la seguridad del equipo y la continuidad de las actividades. 
Asimismo, se sugiere la elaboración y socialización de protocolos para salidas grupales a campo, que prevengan incidentes relacionados con prácticas básicas del trabajo en territorio garantizando de esta manera la seguridad y el orden en las actividades. 
En esta misma línea, existe la necesidad de fortalecer los procesos formales de inducción del personal, garantizando que esta función sea asumida por una persona. La inducción debe abarcar no solo los procedimientos y actividades del programa, sino, y sobre todo,  la orientación contextual necesaria para operar este territorio de manera segura, eficiente y culturalmente pertinente. Contar con un referente claramente designado y capacitado contribuirá a una incorporación más fluida, a la reducción de brechas de información y a un desempeño inicial más sólido por parte del nuevo personal.
</t>
  </si>
  <si>
    <t xml:space="preserve">1. Fortalecer la participación familiar
Implementar horarios alternativos o modalidades híbridas (presencial + microvideos o audios por WhatsApp) considerando las dinámicas laborales rurales.
Trabajar de manera articulada con APAFA, líderes comunales y docentes para reforzar la convocatoria.
Incorporar materiales en quechua, de fácil comprensión y con ejemplos contextualizados.
2. Ajustar la estrategia de intervención
Mantener la gamificación, el storytelling y las dinámicas vivenciales, ya que demostraron gran impacto en estudiantes.
Continuar el uso de videos, pero priorizando materiales descargables por la baja conectividad.
Preparar sistemáticamente un Plan B para sesiones sin tecnología.
Implementar materiales autoaplicables (fichas, tarjetas emocionales, guías breves) que faciliten la continuidad sin depender del facilitador.
3. Optimizar la comunicación con las instituciones
Socializar el cronograma al inicio del año y establecer acuerdos claros para evitar expectativas divergentes.
Mantener comunicación constante con los docentes para prevenir cruces con otras actividades escolares o proyectos.
Coordinar previamente la movilidad con mayor anticipación debido a la limitada oferta de transporte.
4. Asegurar continuidad del proceso socioemocional
Generar un kit de actividades CASEL para que los docentes puedan replicar (reforzar) sin acompañamiento en la hora de tutoría con sus estudiantes.
5. Potenciar las ferias comunitarias
Repetir la estrategia de ferias, ampliándose a otros aliados comunitarios.
Integrar espacios donde estudiantes y familias interactúen aplicando lo aprendido en los talleres fortaleciendo así la apropiación del proyecto.
</t>
  </si>
  <si>
    <t xml:space="preserve">Fortalecer la elaboración del manual del facilitador, un proyecto enfocado en fortalecer habilidades socioemocionales en estudiantes, principalmente, no puede contener 5 sesiones y 8 para docentes.
La amplitud de pruebas que se aplican en los 3 momentos: antes de la aplicación, al finalizar el módulo 2 y al final de la aplicación (Escala de satisfacción, entrevista cualitativa, entrevista mixta) generan cansancio en la población beneficiaria
En el sentido previo, aplicar el segundo corte a los estudiantes al final de la sesión 4 y luego volver a aplicar los mismos instrumentos en la siguiente sesión (5) genera agotamiento en la población estudiantil
Hay padres de familia que pertenecen a la población con analfabetismo, en tal sentido, la aplicación de pruebas no era inclusiva o amigable con esas personas
Mejorar la organización de la sistematización de las pruebas aplicadas, los facilitadores reportaron en más de 1 ocasión que tenían data que había sido eliminada y no se obtuvo el soporte deseado.
El contenido de las sesiones no presentó la potencia esperada para la población beneficiaria, en especial, los docentes.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</si>
</sst>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0">
    <font>
      <sz val="10.0"/>
      <color rgb="FF000000"/>
      <name val="Arial"/>
      <scheme val="minor"/>
    </font>
    <font>
      <b/>
      <color rgb="FFFFFFFF"/>
      <name val="Arial"/>
    </font>
    <font>
      <color rgb="FF434343"/>
      <name val="Roboto"/>
    </font>
    <font>
      <b/>
      <sz val="10.0"/>
      <color rgb="FFFFFFFF"/>
      <name val="Montserrat"/>
    </font>
    <font>
      <sz val="10.0"/>
      <color theme="1"/>
      <name val="Montserrat"/>
    </font>
    <font>
      <sz val="10.0"/>
      <color rgb="FF000000"/>
      <name val="Montserrat"/>
    </font>
    <font>
      <b/>
      <sz val="10.0"/>
      <color rgb="FF000000"/>
      <name val="Montserrat"/>
    </font>
    <font>
      <color theme="1"/>
      <name val="Arial"/>
      <scheme val="minor"/>
    </font>
    <font>
      <b/>
      <sz val="9.0"/>
      <color rgb="FFFFFFFF"/>
      <name val="Montserrat"/>
    </font>
    <font>
      <sz val="10.0"/>
      <color rgb="FFFFFFFF"/>
      <name val="Montserrat"/>
    </font>
  </fonts>
  <fills count="7">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073763"/>
        <bgColor rgb="FF073763"/>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49" xfId="0" applyAlignment="1" applyBorder="1" applyFill="1" applyFont="1" applyNumberFormat="1">
      <alignment horizontal="left" readingOrder="0" shrinkToFit="0" vertical="center" wrapText="0"/>
    </xf>
    <xf borderId="1" fillId="2" fontId="1" numFmtId="49" xfId="0" applyAlignment="1" applyBorder="1" applyFont="1" applyNumberFormat="1">
      <alignment horizontal="center" readingOrder="0" shrinkToFit="0" vertical="center" wrapText="0"/>
    </xf>
    <xf borderId="1" fillId="3" fontId="2" numFmtId="49" xfId="0" applyAlignment="1" applyBorder="1" applyFill="1" applyFont="1" applyNumberFormat="1">
      <alignment shrinkToFit="0" vertical="center" wrapText="0"/>
    </xf>
    <xf borderId="1" fillId="4" fontId="2" numFmtId="49" xfId="0" applyAlignment="1" applyBorder="1" applyFill="1" applyFont="1" applyNumberFormat="1">
      <alignment shrinkToFit="0" vertical="center" wrapText="0"/>
    </xf>
    <xf borderId="1" fillId="5" fontId="3" numFmtId="0" xfId="0" applyAlignment="1" applyBorder="1" applyFill="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1" fillId="5" fontId="3" numFmtId="49" xfId="0" applyAlignment="1" applyBorder="1" applyFont="1" applyNumberFormat="1">
      <alignment horizontal="center" readingOrder="0" shrinkToFit="0" vertical="center" wrapText="1"/>
    </xf>
    <xf borderId="1" fillId="5" fontId="3" numFmtId="3" xfId="0" applyAlignment="1" applyBorder="1" applyFont="1" applyNumberFormat="1">
      <alignment horizontal="center" readingOrder="0" shrinkToFit="0" vertical="center" wrapText="1"/>
    </xf>
    <xf borderId="1" fillId="0" fontId="5" numFmtId="49" xfId="0" applyAlignment="1" applyBorder="1" applyFont="1" applyNumberFormat="1">
      <alignment horizontal="left" readingOrder="0" shrinkToFit="0" vertical="center" wrapText="1"/>
    </xf>
    <xf borderId="1" fillId="6" fontId="5" numFmtId="49" xfId="0" applyAlignment="1" applyBorder="1" applyFill="1" applyFont="1" applyNumberFormat="1">
      <alignment horizontal="center" readingOrder="0" shrinkToFit="0" vertical="center" wrapText="1"/>
    </xf>
    <xf borderId="1" fillId="0" fontId="5" numFmtId="49" xfId="0" applyAlignment="1" applyBorder="1" applyFont="1" applyNumberFormat="1">
      <alignment horizontal="center" readingOrder="0" shrinkToFit="0" vertical="center" wrapText="1"/>
    </xf>
    <xf borderId="1" fillId="0" fontId="5" numFmtId="3" xfId="0" applyAlignment="1" applyBorder="1" applyFont="1" applyNumberFormat="1">
      <alignment horizontal="center" readingOrder="0" shrinkToFit="0" vertical="center" wrapText="1"/>
    </xf>
    <xf borderId="0" fillId="0" fontId="5" numFmtId="49" xfId="0" applyAlignment="1" applyFont="1" applyNumberFormat="1">
      <alignment shrinkToFit="0" vertical="center" wrapText="1"/>
    </xf>
    <xf borderId="0" fillId="0" fontId="5" numFmtId="3" xfId="0" applyAlignment="1" applyFont="1" applyNumberFormat="1">
      <alignment horizontal="center" shrinkToFit="0" vertical="center" wrapText="1"/>
    </xf>
    <xf borderId="0" fillId="0" fontId="5" numFmtId="0" xfId="0" applyAlignment="1" applyFont="1">
      <alignment shrinkToFit="0" vertical="center" wrapText="1"/>
    </xf>
    <xf borderId="0" fillId="0" fontId="6" numFmtId="49" xfId="0" applyAlignment="1" applyFont="1" applyNumberFormat="1">
      <alignment horizontal="center" readingOrder="0" shrinkToFit="0" vertical="center" wrapText="1"/>
    </xf>
    <xf borderId="0" fillId="0" fontId="5" numFmtId="0" xfId="0" applyFont="1"/>
    <xf borderId="0" fillId="0" fontId="7" numFmtId="0" xfId="0" applyAlignment="1" applyFont="1">
      <alignment shrinkToFit="0" vertical="center" wrapText="1"/>
    </xf>
    <xf borderId="1" fillId="0" fontId="5" numFmtId="0" xfId="0" applyAlignment="1" applyBorder="1" applyFont="1">
      <alignment horizontal="left" readingOrder="0" shrinkToFit="0" vertical="center" wrapText="1"/>
    </xf>
    <xf borderId="1" fillId="0" fontId="5" numFmtId="164" xfId="0" applyAlignment="1" applyBorder="1" applyFont="1" applyNumberFormat="1">
      <alignment horizontal="center" readingOrder="0" shrinkToFit="0" vertical="center" wrapText="1"/>
    </xf>
    <xf borderId="1" fillId="0" fontId="4" numFmtId="0" xfId="0" applyAlignment="1" applyBorder="1" applyFont="1">
      <alignment readingOrder="0" shrinkToFit="0" vertical="center" wrapText="1"/>
    </xf>
    <xf borderId="0" fillId="5" fontId="8" numFmtId="0" xfId="0" applyAlignment="1" applyFont="1">
      <alignment horizontal="center" readingOrder="0" shrinkToFit="0" vertical="center" wrapText="1"/>
    </xf>
    <xf borderId="1" fillId="0" fontId="5" numFmtId="0" xfId="0" applyAlignment="1" applyBorder="1" applyFont="1">
      <alignment readingOrder="0" shrinkToFit="0" vertical="center" wrapText="1"/>
    </xf>
    <xf borderId="1" fillId="0" fontId="5" numFmtId="9" xfId="0" applyAlignment="1" applyBorder="1" applyFont="1" applyNumberFormat="1">
      <alignment horizontal="center" readingOrder="0" shrinkToFit="0" vertical="center" wrapText="1"/>
    </xf>
    <xf borderId="1" fillId="5" fontId="9" numFmtId="0" xfId="0" applyAlignment="1" applyBorder="1" applyFont="1">
      <alignment horizontal="center" readingOrder="0" shrinkToFit="0" vertical="center" wrapText="1"/>
    </xf>
    <xf borderId="1" fillId="0" fontId="5" numFmtId="0" xfId="0" applyAlignment="1" applyBorder="1" applyFont="1">
      <alignment horizontal="lef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IIE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24" displayName="Tabla_1" name="Tabla_1" id="1">
  <tableColumns count="8">
    <tableColumn name="Institución educativa" id="1"/>
    <tableColumn name="UGT" id="2"/>
    <tableColumn name="Provincia" id="3"/>
    <tableColumn name="Distrito" id="4"/>
    <tableColumn name="Centro Poblado" id="5"/>
    <tableColumn name="Cod modular" id="6"/>
    <tableColumn name="Cod local" id="7"/>
    <tableColumn name="Nivel modular" id="8"/>
  </tableColumns>
  <tableStyleInfo name="IIE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38"/>
    <col customWidth="1" min="2" max="2" width="16.5"/>
    <col customWidth="1" min="3" max="3" width="13.0"/>
    <col customWidth="1" min="4" max="4" width="21.13"/>
    <col customWidth="1" min="5" max="5" width="23.13"/>
    <col customWidth="1" min="6" max="6" width="19.0"/>
    <col customWidth="1" min="7" max="7" width="16.25"/>
    <col customWidth="1" min="8" max="8" width="19.13"/>
  </cols>
  <sheetData>
    <row r="1" ht="22.5" customHeight="1">
      <c r="A1" s="1" t="s">
        <v>0</v>
      </c>
      <c r="B1" s="2" t="s">
        <v>1</v>
      </c>
      <c r="C1" s="2" t="s">
        <v>2</v>
      </c>
      <c r="D1" s="2" t="s">
        <v>3</v>
      </c>
      <c r="E1" s="2" t="s">
        <v>4</v>
      </c>
      <c r="F1" s="2" t="s">
        <v>5</v>
      </c>
      <c r="G1" s="2" t="s">
        <v>6</v>
      </c>
      <c r="H1" s="2" t="s">
        <v>7</v>
      </c>
    </row>
    <row r="2" ht="22.5" customHeight="1">
      <c r="A2" s="3" t="s">
        <v>8</v>
      </c>
      <c r="B2" s="3" t="s">
        <v>9</v>
      </c>
      <c r="C2" s="3" t="s">
        <v>9</v>
      </c>
      <c r="D2" s="3" t="s">
        <v>9</v>
      </c>
      <c r="E2" s="3" t="s">
        <v>10</v>
      </c>
      <c r="F2" s="3" t="s">
        <v>11</v>
      </c>
      <c r="G2" s="3" t="s">
        <v>12</v>
      </c>
      <c r="H2" s="3" t="s">
        <v>13</v>
      </c>
    </row>
    <row r="3" ht="22.5" customHeight="1">
      <c r="A3" s="4" t="s">
        <v>14</v>
      </c>
      <c r="B3" s="4" t="s">
        <v>9</v>
      </c>
      <c r="C3" s="4" t="s">
        <v>9</v>
      </c>
      <c r="D3" s="4" t="s">
        <v>9</v>
      </c>
      <c r="E3" s="4" t="s">
        <v>15</v>
      </c>
      <c r="F3" s="4" t="s">
        <v>16</v>
      </c>
      <c r="G3" s="4" t="s">
        <v>17</v>
      </c>
      <c r="H3" s="4" t="s">
        <v>18</v>
      </c>
    </row>
    <row r="4" ht="22.5" customHeight="1">
      <c r="A4" s="3" t="s">
        <v>14</v>
      </c>
      <c r="B4" s="3" t="s">
        <v>9</v>
      </c>
      <c r="C4" s="3" t="s">
        <v>9</v>
      </c>
      <c r="D4" s="3" t="s">
        <v>9</v>
      </c>
      <c r="E4" s="3" t="s">
        <v>15</v>
      </c>
      <c r="F4" s="3" t="s">
        <v>19</v>
      </c>
      <c r="G4" s="3" t="s">
        <v>17</v>
      </c>
      <c r="H4" s="3" t="s">
        <v>13</v>
      </c>
    </row>
    <row r="5" ht="22.5" customHeight="1">
      <c r="A5" s="4" t="s">
        <v>20</v>
      </c>
      <c r="B5" s="4" t="s">
        <v>21</v>
      </c>
      <c r="C5" s="4" t="s">
        <v>22</v>
      </c>
      <c r="D5" s="4" t="s">
        <v>23</v>
      </c>
      <c r="E5" s="4" t="s">
        <v>24</v>
      </c>
      <c r="F5" s="4" t="s">
        <v>25</v>
      </c>
      <c r="G5" s="4" t="s">
        <v>26</v>
      </c>
      <c r="H5" s="4" t="s">
        <v>13</v>
      </c>
    </row>
    <row r="6" ht="22.5" customHeight="1">
      <c r="A6" s="3" t="s">
        <v>27</v>
      </c>
      <c r="B6" s="3" t="s">
        <v>21</v>
      </c>
      <c r="C6" s="3" t="s">
        <v>22</v>
      </c>
      <c r="D6" s="3" t="s">
        <v>23</v>
      </c>
      <c r="E6" s="3" t="s">
        <v>28</v>
      </c>
      <c r="F6" s="3" t="s">
        <v>29</v>
      </c>
      <c r="G6" s="3" t="s">
        <v>30</v>
      </c>
      <c r="H6" s="3" t="s">
        <v>13</v>
      </c>
    </row>
    <row r="7" ht="22.5" customHeight="1">
      <c r="A7" s="4" t="s">
        <v>31</v>
      </c>
      <c r="B7" s="4" t="s">
        <v>21</v>
      </c>
      <c r="C7" s="4" t="s">
        <v>22</v>
      </c>
      <c r="D7" s="4" t="s">
        <v>32</v>
      </c>
      <c r="E7" s="4" t="s">
        <v>33</v>
      </c>
      <c r="F7" s="4" t="s">
        <v>34</v>
      </c>
      <c r="G7" s="4" t="s">
        <v>35</v>
      </c>
      <c r="H7" s="4" t="s">
        <v>13</v>
      </c>
    </row>
    <row r="8" ht="22.5" customHeight="1">
      <c r="A8" s="3" t="s">
        <v>36</v>
      </c>
      <c r="B8" s="3" t="s">
        <v>21</v>
      </c>
      <c r="C8" s="3" t="s">
        <v>22</v>
      </c>
      <c r="D8" s="3" t="s">
        <v>23</v>
      </c>
      <c r="E8" s="3" t="s">
        <v>37</v>
      </c>
      <c r="F8" s="3" t="s">
        <v>38</v>
      </c>
      <c r="G8" s="3" t="s">
        <v>39</v>
      </c>
      <c r="H8" s="3" t="s">
        <v>13</v>
      </c>
    </row>
    <row r="9" ht="22.5" customHeight="1">
      <c r="A9" s="4" t="s">
        <v>36</v>
      </c>
      <c r="B9" s="4" t="s">
        <v>21</v>
      </c>
      <c r="C9" s="4" t="s">
        <v>22</v>
      </c>
      <c r="D9" s="4" t="s">
        <v>23</v>
      </c>
      <c r="E9" s="4" t="s">
        <v>37</v>
      </c>
      <c r="F9" s="4" t="s">
        <v>40</v>
      </c>
      <c r="G9" s="4" t="s">
        <v>39</v>
      </c>
      <c r="H9" s="4" t="s">
        <v>18</v>
      </c>
    </row>
    <row r="10" ht="22.5" customHeight="1">
      <c r="A10" s="3" t="s">
        <v>41</v>
      </c>
      <c r="B10" s="3" t="s">
        <v>21</v>
      </c>
      <c r="C10" s="3" t="s">
        <v>22</v>
      </c>
      <c r="D10" s="3" t="s">
        <v>42</v>
      </c>
      <c r="E10" s="3" t="s">
        <v>43</v>
      </c>
      <c r="F10" s="3" t="s">
        <v>44</v>
      </c>
      <c r="G10" s="3" t="s">
        <v>45</v>
      </c>
      <c r="H10" s="3" t="s">
        <v>13</v>
      </c>
    </row>
    <row r="11" ht="22.5" customHeight="1">
      <c r="A11" s="4" t="s">
        <v>46</v>
      </c>
      <c r="B11" s="4" t="s">
        <v>21</v>
      </c>
      <c r="C11" s="4" t="s">
        <v>22</v>
      </c>
      <c r="D11" s="4" t="s">
        <v>32</v>
      </c>
      <c r="E11" s="4" t="s">
        <v>47</v>
      </c>
      <c r="F11" s="4" t="s">
        <v>48</v>
      </c>
      <c r="G11" s="4" t="s">
        <v>49</v>
      </c>
      <c r="H11" s="4" t="s">
        <v>13</v>
      </c>
    </row>
    <row r="12" ht="22.5" customHeight="1">
      <c r="A12" s="3" t="s">
        <v>50</v>
      </c>
      <c r="B12" s="3" t="s">
        <v>51</v>
      </c>
      <c r="C12" s="3" t="s">
        <v>52</v>
      </c>
      <c r="D12" s="3" t="s">
        <v>53</v>
      </c>
      <c r="E12" s="3" t="s">
        <v>54</v>
      </c>
      <c r="F12" s="3" t="s">
        <v>55</v>
      </c>
      <c r="G12" s="3" t="s">
        <v>56</v>
      </c>
      <c r="H12" s="3" t="s">
        <v>13</v>
      </c>
    </row>
    <row r="13" ht="22.5" customHeight="1">
      <c r="A13" s="4" t="s">
        <v>50</v>
      </c>
      <c r="B13" s="4" t="s">
        <v>51</v>
      </c>
      <c r="C13" s="4" t="s">
        <v>52</v>
      </c>
      <c r="D13" s="4" t="s">
        <v>53</v>
      </c>
      <c r="E13" s="4" t="s">
        <v>54</v>
      </c>
      <c r="F13" s="4" t="s">
        <v>57</v>
      </c>
      <c r="G13" s="4" t="s">
        <v>56</v>
      </c>
      <c r="H13" s="4" t="s">
        <v>18</v>
      </c>
    </row>
    <row r="14" ht="22.5" customHeight="1">
      <c r="A14" s="3" t="s">
        <v>58</v>
      </c>
      <c r="B14" s="3" t="s">
        <v>51</v>
      </c>
      <c r="C14" s="3" t="s">
        <v>52</v>
      </c>
      <c r="D14" s="3" t="s">
        <v>59</v>
      </c>
      <c r="E14" s="3" t="s">
        <v>60</v>
      </c>
      <c r="F14" s="3" t="s">
        <v>61</v>
      </c>
      <c r="G14" s="3" t="s">
        <v>62</v>
      </c>
      <c r="H14" s="3" t="s">
        <v>13</v>
      </c>
    </row>
    <row r="15" ht="22.5" customHeight="1">
      <c r="A15" s="4" t="s">
        <v>63</v>
      </c>
      <c r="B15" s="4" t="s">
        <v>51</v>
      </c>
      <c r="C15" s="4" t="s">
        <v>52</v>
      </c>
      <c r="D15" s="4" t="s">
        <v>53</v>
      </c>
      <c r="E15" s="4" t="s">
        <v>64</v>
      </c>
      <c r="F15" s="4" t="s">
        <v>65</v>
      </c>
      <c r="G15" s="4" t="s">
        <v>66</v>
      </c>
      <c r="H15" s="4" t="s">
        <v>13</v>
      </c>
    </row>
    <row r="16" ht="22.5" customHeight="1">
      <c r="A16" s="3" t="s">
        <v>63</v>
      </c>
      <c r="B16" s="3" t="s">
        <v>51</v>
      </c>
      <c r="C16" s="3" t="s">
        <v>52</v>
      </c>
      <c r="D16" s="3" t="s">
        <v>53</v>
      </c>
      <c r="E16" s="3" t="s">
        <v>64</v>
      </c>
      <c r="F16" s="3" t="s">
        <v>67</v>
      </c>
      <c r="G16" s="3" t="s">
        <v>66</v>
      </c>
      <c r="H16" s="3" t="s">
        <v>18</v>
      </c>
    </row>
    <row r="17" ht="22.5" customHeight="1">
      <c r="A17" s="4" t="s">
        <v>68</v>
      </c>
      <c r="B17" s="4" t="s">
        <v>51</v>
      </c>
      <c r="C17" s="4" t="s">
        <v>52</v>
      </c>
      <c r="D17" s="4" t="s">
        <v>59</v>
      </c>
      <c r="E17" s="4" t="s">
        <v>59</v>
      </c>
      <c r="F17" s="4" t="s">
        <v>69</v>
      </c>
      <c r="G17" s="4" t="s">
        <v>70</v>
      </c>
      <c r="H17" s="4" t="s">
        <v>13</v>
      </c>
    </row>
    <row r="18" ht="22.5" customHeight="1">
      <c r="A18" s="3" t="s">
        <v>68</v>
      </c>
      <c r="B18" s="3" t="s">
        <v>51</v>
      </c>
      <c r="C18" s="3" t="s">
        <v>52</v>
      </c>
      <c r="D18" s="3" t="s">
        <v>59</v>
      </c>
      <c r="E18" s="3" t="s">
        <v>59</v>
      </c>
      <c r="F18" s="3" t="s">
        <v>71</v>
      </c>
      <c r="G18" s="3" t="s">
        <v>70</v>
      </c>
      <c r="H18" s="3" t="s">
        <v>18</v>
      </c>
    </row>
    <row r="19" ht="22.5" customHeight="1">
      <c r="A19" s="4" t="s">
        <v>72</v>
      </c>
      <c r="B19" s="4" t="s">
        <v>51</v>
      </c>
      <c r="C19" s="4" t="s">
        <v>52</v>
      </c>
      <c r="D19" s="4" t="s">
        <v>73</v>
      </c>
      <c r="E19" s="4" t="s">
        <v>74</v>
      </c>
      <c r="F19" s="4" t="s">
        <v>75</v>
      </c>
      <c r="G19" s="4" t="s">
        <v>76</v>
      </c>
      <c r="H19" s="4" t="s">
        <v>13</v>
      </c>
    </row>
    <row r="20" ht="22.5" customHeight="1">
      <c r="A20" s="3" t="s">
        <v>72</v>
      </c>
      <c r="B20" s="3" t="s">
        <v>51</v>
      </c>
      <c r="C20" s="3" t="s">
        <v>52</v>
      </c>
      <c r="D20" s="3" t="s">
        <v>73</v>
      </c>
      <c r="E20" s="3" t="s">
        <v>74</v>
      </c>
      <c r="F20" s="3" t="s">
        <v>77</v>
      </c>
      <c r="G20" s="3" t="s">
        <v>76</v>
      </c>
      <c r="H20" s="3" t="s">
        <v>18</v>
      </c>
    </row>
    <row r="21" ht="22.5" customHeight="1">
      <c r="A21" s="4" t="s">
        <v>78</v>
      </c>
      <c r="B21" s="4" t="s">
        <v>51</v>
      </c>
      <c r="C21" s="4" t="s">
        <v>79</v>
      </c>
      <c r="D21" s="4" t="s">
        <v>80</v>
      </c>
      <c r="E21" s="4" t="s">
        <v>81</v>
      </c>
      <c r="F21" s="4" t="s">
        <v>82</v>
      </c>
      <c r="G21" s="4" t="s">
        <v>83</v>
      </c>
      <c r="H21" s="4" t="s">
        <v>13</v>
      </c>
    </row>
    <row r="22" ht="22.5" customHeight="1">
      <c r="A22" s="3" t="s">
        <v>78</v>
      </c>
      <c r="B22" s="3" t="s">
        <v>51</v>
      </c>
      <c r="C22" s="3" t="s">
        <v>79</v>
      </c>
      <c r="D22" s="3" t="s">
        <v>80</v>
      </c>
      <c r="E22" s="3" t="s">
        <v>81</v>
      </c>
      <c r="F22" s="3" t="s">
        <v>84</v>
      </c>
      <c r="G22" s="3" t="s">
        <v>83</v>
      </c>
      <c r="H22" s="3" t="s">
        <v>18</v>
      </c>
    </row>
    <row r="23" ht="22.5" customHeight="1">
      <c r="A23" s="4" t="s">
        <v>85</v>
      </c>
      <c r="B23" s="4" t="s">
        <v>51</v>
      </c>
      <c r="C23" s="4" t="s">
        <v>52</v>
      </c>
      <c r="D23" s="4" t="s">
        <v>59</v>
      </c>
      <c r="E23" s="4" t="s">
        <v>86</v>
      </c>
      <c r="F23" s="4" t="s">
        <v>87</v>
      </c>
      <c r="G23" s="4" t="s">
        <v>88</v>
      </c>
      <c r="H23" s="4" t="s">
        <v>13</v>
      </c>
    </row>
    <row r="24" ht="22.5" customHeight="1">
      <c r="A24" s="3" t="s">
        <v>85</v>
      </c>
      <c r="B24" s="3" t="s">
        <v>51</v>
      </c>
      <c r="C24" s="3" t="s">
        <v>52</v>
      </c>
      <c r="D24" s="3" t="s">
        <v>59</v>
      </c>
      <c r="E24" s="3" t="s">
        <v>86</v>
      </c>
      <c r="F24" s="3" t="s">
        <v>89</v>
      </c>
      <c r="G24" s="3" t="s">
        <v>88</v>
      </c>
      <c r="H24" s="3" t="s">
        <v>18</v>
      </c>
    </row>
  </sheetData>
  <dataValidations>
    <dataValidation allowBlank="1" showDropDown="1" sqref="A2:A24 F2:G24"/>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5"/>
  </cols>
  <sheetData>
    <row r="1">
      <c r="A1" s="5" t="s">
        <v>90</v>
      </c>
      <c r="B1" s="5" t="s">
        <v>91</v>
      </c>
    </row>
    <row r="2">
      <c r="A2" s="6" t="s">
        <v>92</v>
      </c>
      <c r="B2" s="7" t="s">
        <v>93</v>
      </c>
    </row>
    <row r="3">
      <c r="A3" s="6" t="s">
        <v>94</v>
      </c>
      <c r="B3" s="6" t="s">
        <v>95</v>
      </c>
    </row>
    <row r="4">
      <c r="A4" s="6" t="s">
        <v>96</v>
      </c>
      <c r="B4" s="6" t="s">
        <v>97</v>
      </c>
    </row>
    <row r="5">
      <c r="A5" s="6" t="s">
        <v>98</v>
      </c>
      <c r="B5" s="6" t="s">
        <v>99</v>
      </c>
    </row>
    <row r="6">
      <c r="A6" s="6" t="s">
        <v>100</v>
      </c>
      <c r="B6" s="7" t="s">
        <v>101</v>
      </c>
    </row>
    <row r="7">
      <c r="A7" s="8"/>
      <c r="B7"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20.25"/>
  </cols>
  <sheetData>
    <row r="1">
      <c r="A1" s="9" t="s">
        <v>1</v>
      </c>
      <c r="B1" s="9" t="s">
        <v>2</v>
      </c>
      <c r="C1" s="9" t="s">
        <v>3</v>
      </c>
      <c r="D1" s="9" t="s">
        <v>4</v>
      </c>
      <c r="E1" s="9" t="s">
        <v>0</v>
      </c>
      <c r="F1" s="9" t="s">
        <v>5</v>
      </c>
      <c r="G1" s="9" t="s">
        <v>7</v>
      </c>
      <c r="H1" s="10" t="s">
        <v>102</v>
      </c>
      <c r="I1" s="10" t="s">
        <v>103</v>
      </c>
      <c r="J1" s="10" t="s">
        <v>104</v>
      </c>
      <c r="K1" s="5" t="s">
        <v>91</v>
      </c>
    </row>
    <row r="2">
      <c r="A2" s="11" t="s">
        <v>51</v>
      </c>
      <c r="B2" s="11" t="s">
        <v>52</v>
      </c>
      <c r="C2" s="11" t="s">
        <v>59</v>
      </c>
      <c r="D2" s="11" t="s">
        <v>60</v>
      </c>
      <c r="E2" s="11" t="s">
        <v>105</v>
      </c>
      <c r="F2" s="12" t="s">
        <v>61</v>
      </c>
      <c r="G2" s="13" t="s">
        <v>13</v>
      </c>
      <c r="H2" s="14">
        <v>5.0</v>
      </c>
      <c r="I2" s="14">
        <v>4.0</v>
      </c>
      <c r="J2" s="14">
        <v>7.0</v>
      </c>
      <c r="K2" s="7" t="s">
        <v>93</v>
      </c>
    </row>
    <row r="3">
      <c r="A3" s="11" t="s">
        <v>51</v>
      </c>
      <c r="B3" s="11" t="s">
        <v>52</v>
      </c>
      <c r="C3" s="11" t="s">
        <v>53</v>
      </c>
      <c r="D3" s="11" t="s">
        <v>64</v>
      </c>
      <c r="E3" s="11" t="s">
        <v>63</v>
      </c>
      <c r="F3" s="12" t="s">
        <v>65</v>
      </c>
      <c r="G3" s="13" t="s">
        <v>13</v>
      </c>
      <c r="H3" s="14">
        <v>72.0</v>
      </c>
      <c r="I3" s="14">
        <v>3.0</v>
      </c>
      <c r="J3" s="14">
        <v>0.0</v>
      </c>
      <c r="K3" s="7" t="s">
        <v>93</v>
      </c>
    </row>
    <row r="4">
      <c r="A4" s="11" t="s">
        <v>51</v>
      </c>
      <c r="B4" s="11" t="s">
        <v>52</v>
      </c>
      <c r="C4" s="11" t="s">
        <v>53</v>
      </c>
      <c r="D4" s="11" t="s">
        <v>64</v>
      </c>
      <c r="E4" s="11" t="s">
        <v>63</v>
      </c>
      <c r="F4" s="12" t="s">
        <v>67</v>
      </c>
      <c r="G4" s="13" t="s">
        <v>18</v>
      </c>
      <c r="H4" s="14">
        <v>33.0</v>
      </c>
      <c r="I4" s="14">
        <v>1.0</v>
      </c>
      <c r="J4" s="14">
        <v>0.0</v>
      </c>
      <c r="K4" s="7" t="s">
        <v>93</v>
      </c>
    </row>
    <row r="5">
      <c r="A5" s="11" t="s">
        <v>51</v>
      </c>
      <c r="B5" s="11" t="s">
        <v>52</v>
      </c>
      <c r="C5" s="11" t="s">
        <v>53</v>
      </c>
      <c r="D5" s="11" t="s">
        <v>54</v>
      </c>
      <c r="E5" s="11" t="s">
        <v>50</v>
      </c>
      <c r="F5" s="12" t="s">
        <v>55</v>
      </c>
      <c r="G5" s="13" t="s">
        <v>13</v>
      </c>
      <c r="H5" s="14">
        <v>7.0</v>
      </c>
      <c r="I5" s="14">
        <v>1.0</v>
      </c>
      <c r="J5" s="14">
        <v>7.0</v>
      </c>
      <c r="K5" s="7" t="s">
        <v>93</v>
      </c>
    </row>
    <row r="6">
      <c r="A6" s="11" t="s">
        <v>51</v>
      </c>
      <c r="B6" s="11" t="s">
        <v>52</v>
      </c>
      <c r="C6" s="11" t="s">
        <v>53</v>
      </c>
      <c r="D6" s="11" t="s">
        <v>54</v>
      </c>
      <c r="E6" s="11" t="s">
        <v>50</v>
      </c>
      <c r="F6" s="12" t="s">
        <v>57</v>
      </c>
      <c r="G6" s="13" t="s">
        <v>18</v>
      </c>
      <c r="H6" s="14">
        <v>7.0</v>
      </c>
      <c r="I6" s="14">
        <v>7.0</v>
      </c>
      <c r="J6" s="14">
        <v>8.0</v>
      </c>
      <c r="K6" s="7" t="s">
        <v>93</v>
      </c>
    </row>
    <row r="7">
      <c r="A7" s="11" t="s">
        <v>51</v>
      </c>
      <c r="B7" s="11" t="s">
        <v>79</v>
      </c>
      <c r="C7" s="11" t="s">
        <v>80</v>
      </c>
      <c r="D7" s="11" t="s">
        <v>81</v>
      </c>
      <c r="E7" s="11" t="s">
        <v>78</v>
      </c>
      <c r="F7" s="12" t="s">
        <v>82</v>
      </c>
      <c r="G7" s="13" t="s">
        <v>13</v>
      </c>
      <c r="H7" s="14">
        <v>22.0</v>
      </c>
      <c r="I7" s="14">
        <v>2.0</v>
      </c>
      <c r="J7" s="14">
        <v>3.0</v>
      </c>
      <c r="K7" s="7" t="s">
        <v>93</v>
      </c>
    </row>
    <row r="8">
      <c r="A8" s="11" t="s">
        <v>51</v>
      </c>
      <c r="B8" s="11" t="s">
        <v>79</v>
      </c>
      <c r="C8" s="11" t="s">
        <v>80</v>
      </c>
      <c r="D8" s="11" t="s">
        <v>81</v>
      </c>
      <c r="E8" s="11" t="s">
        <v>78</v>
      </c>
      <c r="F8" s="12" t="s">
        <v>84</v>
      </c>
      <c r="G8" s="13" t="s">
        <v>18</v>
      </c>
      <c r="H8" s="14">
        <v>33.0</v>
      </c>
      <c r="I8" s="14">
        <v>2.0</v>
      </c>
      <c r="J8" s="14">
        <v>0.0</v>
      </c>
      <c r="K8" s="7" t="s">
        <v>93</v>
      </c>
    </row>
    <row r="9">
      <c r="A9" s="11" t="s">
        <v>9</v>
      </c>
      <c r="B9" s="11" t="s">
        <v>9</v>
      </c>
      <c r="C9" s="11" t="s">
        <v>9</v>
      </c>
      <c r="D9" s="11" t="s">
        <v>10</v>
      </c>
      <c r="E9" s="11" t="s">
        <v>8</v>
      </c>
      <c r="F9" s="12" t="s">
        <v>11</v>
      </c>
      <c r="G9" s="13" t="s">
        <v>13</v>
      </c>
      <c r="H9" s="14">
        <v>5.0</v>
      </c>
      <c r="I9" s="14">
        <v>3.0</v>
      </c>
      <c r="J9" s="14">
        <v>4.0</v>
      </c>
      <c r="K9" s="6" t="s">
        <v>95</v>
      </c>
    </row>
    <row r="10">
      <c r="A10" s="11" t="s">
        <v>9</v>
      </c>
      <c r="B10" s="11" t="s">
        <v>9</v>
      </c>
      <c r="C10" s="11" t="s">
        <v>9</v>
      </c>
      <c r="D10" s="11" t="s">
        <v>15</v>
      </c>
      <c r="E10" s="11" t="s">
        <v>14</v>
      </c>
      <c r="F10" s="12" t="s">
        <v>19</v>
      </c>
      <c r="G10" s="13" t="s">
        <v>13</v>
      </c>
      <c r="H10" s="14">
        <v>35.0</v>
      </c>
      <c r="I10" s="14">
        <v>6.0</v>
      </c>
      <c r="J10" s="14">
        <v>6.0</v>
      </c>
      <c r="K10" s="6" t="s">
        <v>95</v>
      </c>
    </row>
    <row r="11">
      <c r="A11" s="11" t="s">
        <v>21</v>
      </c>
      <c r="B11" s="11" t="s">
        <v>22</v>
      </c>
      <c r="C11" s="11" t="s">
        <v>32</v>
      </c>
      <c r="D11" s="11" t="s">
        <v>47</v>
      </c>
      <c r="E11" s="11" t="s">
        <v>46</v>
      </c>
      <c r="F11" s="12" t="s">
        <v>48</v>
      </c>
      <c r="G11" s="13" t="s">
        <v>13</v>
      </c>
      <c r="H11" s="14">
        <v>23.0</v>
      </c>
      <c r="I11" s="14">
        <v>2.0</v>
      </c>
      <c r="J11" s="14">
        <v>13.0</v>
      </c>
      <c r="K11" s="6" t="s">
        <v>97</v>
      </c>
    </row>
    <row r="12">
      <c r="A12" s="11" t="s">
        <v>21</v>
      </c>
      <c r="B12" s="11" t="s">
        <v>22</v>
      </c>
      <c r="C12" s="11" t="s">
        <v>23</v>
      </c>
      <c r="D12" s="11" t="s">
        <v>24</v>
      </c>
      <c r="E12" s="11" t="s">
        <v>20</v>
      </c>
      <c r="F12" s="12" t="s">
        <v>25</v>
      </c>
      <c r="G12" s="13" t="s">
        <v>13</v>
      </c>
      <c r="H12" s="14">
        <v>6.0</v>
      </c>
      <c r="I12" s="14">
        <v>1.0</v>
      </c>
      <c r="J12" s="14">
        <v>5.0</v>
      </c>
      <c r="K12" s="6" t="s">
        <v>97</v>
      </c>
    </row>
    <row r="13">
      <c r="A13" s="11" t="s">
        <v>21</v>
      </c>
      <c r="B13" s="11" t="s">
        <v>22</v>
      </c>
      <c r="C13" s="11" t="s">
        <v>23</v>
      </c>
      <c r="D13" s="11" t="s">
        <v>37</v>
      </c>
      <c r="E13" s="11" t="s">
        <v>36</v>
      </c>
      <c r="F13" s="12" t="s">
        <v>38</v>
      </c>
      <c r="G13" s="13" t="s">
        <v>13</v>
      </c>
      <c r="H13" s="14">
        <v>39.0</v>
      </c>
      <c r="I13" s="14">
        <v>3.0</v>
      </c>
      <c r="J13" s="14">
        <v>18.0</v>
      </c>
      <c r="K13" s="6" t="s">
        <v>97</v>
      </c>
    </row>
    <row r="14">
      <c r="A14" s="11" t="s">
        <v>21</v>
      </c>
      <c r="B14" s="11" t="s">
        <v>22</v>
      </c>
      <c r="C14" s="11" t="s">
        <v>32</v>
      </c>
      <c r="D14" s="11" t="s">
        <v>33</v>
      </c>
      <c r="E14" s="11" t="s">
        <v>31</v>
      </c>
      <c r="F14" s="12" t="s">
        <v>34</v>
      </c>
      <c r="G14" s="13" t="s">
        <v>13</v>
      </c>
      <c r="H14" s="14">
        <v>5.0</v>
      </c>
      <c r="I14" s="14">
        <v>1.0</v>
      </c>
      <c r="J14" s="14">
        <v>5.0</v>
      </c>
      <c r="K14" s="6" t="s">
        <v>99</v>
      </c>
    </row>
    <row r="15">
      <c r="A15" s="11" t="s">
        <v>21</v>
      </c>
      <c r="B15" s="11" t="s">
        <v>22</v>
      </c>
      <c r="C15" s="11" t="s">
        <v>23</v>
      </c>
      <c r="D15" s="11" t="s">
        <v>28</v>
      </c>
      <c r="E15" s="11" t="s">
        <v>27</v>
      </c>
      <c r="F15" s="12" t="s">
        <v>29</v>
      </c>
      <c r="G15" s="13" t="s">
        <v>13</v>
      </c>
      <c r="H15" s="14">
        <v>62.0</v>
      </c>
      <c r="I15" s="14">
        <v>4.0</v>
      </c>
      <c r="J15" s="14">
        <v>25.0</v>
      </c>
      <c r="K15" s="6" t="s">
        <v>99</v>
      </c>
    </row>
    <row r="16">
      <c r="A16" s="11" t="s">
        <v>51</v>
      </c>
      <c r="B16" s="11" t="s">
        <v>52</v>
      </c>
      <c r="C16" s="11" t="s">
        <v>73</v>
      </c>
      <c r="D16" s="11" t="s">
        <v>74</v>
      </c>
      <c r="E16" s="11" t="s">
        <v>72</v>
      </c>
      <c r="F16" s="12" t="s">
        <v>75</v>
      </c>
      <c r="G16" s="13" t="s">
        <v>13</v>
      </c>
      <c r="H16" s="14">
        <v>15.0</v>
      </c>
      <c r="I16" s="14">
        <v>6.0</v>
      </c>
      <c r="J16" s="14">
        <v>10.0</v>
      </c>
      <c r="K16" s="7" t="s">
        <v>101</v>
      </c>
    </row>
    <row r="17">
      <c r="A17" s="11" t="s">
        <v>51</v>
      </c>
      <c r="B17" s="11" t="s">
        <v>52</v>
      </c>
      <c r="C17" s="11" t="s">
        <v>73</v>
      </c>
      <c r="D17" s="11" t="s">
        <v>74</v>
      </c>
      <c r="E17" s="11" t="s">
        <v>72</v>
      </c>
      <c r="F17" s="12" t="s">
        <v>77</v>
      </c>
      <c r="G17" s="13" t="s">
        <v>18</v>
      </c>
      <c r="H17" s="14">
        <v>19.0</v>
      </c>
      <c r="I17" s="14">
        <v>6.0</v>
      </c>
      <c r="J17" s="14">
        <v>6.0</v>
      </c>
      <c r="K17" s="7" t="s">
        <v>101</v>
      </c>
    </row>
    <row r="18">
      <c r="A18" s="11" t="s">
        <v>51</v>
      </c>
      <c r="B18" s="11" t="s">
        <v>52</v>
      </c>
      <c r="C18" s="11" t="s">
        <v>59</v>
      </c>
      <c r="D18" s="11" t="s">
        <v>59</v>
      </c>
      <c r="E18" s="11" t="s">
        <v>68</v>
      </c>
      <c r="F18" s="12" t="s">
        <v>69</v>
      </c>
      <c r="G18" s="13" t="s">
        <v>13</v>
      </c>
      <c r="H18" s="14">
        <v>16.0</v>
      </c>
      <c r="I18" s="14">
        <v>5.0</v>
      </c>
      <c r="J18" s="14">
        <v>13.0</v>
      </c>
      <c r="K18" s="7" t="s">
        <v>101</v>
      </c>
    </row>
    <row r="19">
      <c r="A19" s="11" t="s">
        <v>51</v>
      </c>
      <c r="B19" s="11" t="s">
        <v>52</v>
      </c>
      <c r="C19" s="11" t="s">
        <v>59</v>
      </c>
      <c r="D19" s="11" t="s">
        <v>59</v>
      </c>
      <c r="E19" s="11" t="s">
        <v>68</v>
      </c>
      <c r="F19" s="12" t="s">
        <v>71</v>
      </c>
      <c r="G19" s="13" t="s">
        <v>18</v>
      </c>
      <c r="H19" s="14">
        <v>5.0</v>
      </c>
      <c r="I19" s="14">
        <v>3.0</v>
      </c>
      <c r="J19" s="14">
        <v>1.0</v>
      </c>
      <c r="K19" s="7" t="s">
        <v>101</v>
      </c>
    </row>
    <row r="20">
      <c r="A20" s="11" t="s">
        <v>51</v>
      </c>
      <c r="B20" s="11" t="s">
        <v>52</v>
      </c>
      <c r="C20" s="11" t="s">
        <v>59</v>
      </c>
      <c r="D20" s="11" t="s">
        <v>86</v>
      </c>
      <c r="E20" s="11" t="s">
        <v>85</v>
      </c>
      <c r="F20" s="12" t="s">
        <v>87</v>
      </c>
      <c r="G20" s="13" t="s">
        <v>13</v>
      </c>
      <c r="H20" s="14">
        <v>15.0</v>
      </c>
      <c r="I20" s="14">
        <v>5.0</v>
      </c>
      <c r="J20" s="14">
        <v>13.0</v>
      </c>
      <c r="K20" s="7" t="s">
        <v>101</v>
      </c>
    </row>
    <row r="21">
      <c r="A21" s="11" t="s">
        <v>51</v>
      </c>
      <c r="B21" s="11" t="s">
        <v>52</v>
      </c>
      <c r="C21" s="11" t="s">
        <v>59</v>
      </c>
      <c r="D21" s="11" t="s">
        <v>86</v>
      </c>
      <c r="E21" s="11" t="s">
        <v>85</v>
      </c>
      <c r="F21" s="12" t="s">
        <v>89</v>
      </c>
      <c r="G21" s="13" t="s">
        <v>18</v>
      </c>
      <c r="H21" s="14">
        <v>14.0</v>
      </c>
      <c r="I21" s="14">
        <v>5.0</v>
      </c>
      <c r="J21" s="14">
        <v>18.0</v>
      </c>
      <c r="K21" s="7" t="s">
        <v>101</v>
      </c>
    </row>
    <row r="22">
      <c r="A22" s="15"/>
      <c r="B22" s="15"/>
      <c r="C22" s="15"/>
      <c r="D22" s="15"/>
      <c r="E22" s="15"/>
      <c r="F22" s="15"/>
      <c r="G22" s="15"/>
      <c r="H22" s="16"/>
      <c r="I22" s="16"/>
      <c r="J22" s="16"/>
      <c r="K22" s="17"/>
    </row>
    <row r="23" ht="27.0" customHeight="1">
      <c r="A23" s="18" t="s">
        <v>106</v>
      </c>
      <c r="J23" s="18"/>
      <c r="K23" s="18"/>
    </row>
    <row r="24">
      <c r="A24" s="9" t="s">
        <v>1</v>
      </c>
      <c r="B24" s="9" t="s">
        <v>2</v>
      </c>
      <c r="C24" s="9" t="s">
        <v>3</v>
      </c>
      <c r="D24" s="9" t="s">
        <v>4</v>
      </c>
      <c r="E24" s="9" t="s">
        <v>0</v>
      </c>
      <c r="F24" s="10" t="s">
        <v>102</v>
      </c>
      <c r="G24" s="10" t="s">
        <v>103</v>
      </c>
      <c r="H24" s="10" t="s">
        <v>104</v>
      </c>
      <c r="I24" s="5" t="s">
        <v>91</v>
      </c>
      <c r="J24" s="19"/>
      <c r="K24" s="19"/>
    </row>
    <row r="25" ht="33.0" customHeight="1">
      <c r="A25" s="13">
        <f>IFERROR(__xludf.DUMMYFUNCTION("COUNTUNIQUE(A2:A21)"),3.0)</f>
        <v>3</v>
      </c>
      <c r="B25" s="13">
        <f>IFERROR(__xludf.DUMMYFUNCTION("COUNTUNIQUE(B2:B21)"),4.0)</f>
        <v>4</v>
      </c>
      <c r="C25" s="13">
        <f>IFERROR(__xludf.DUMMYFUNCTION("COUNTUNIQUE(C2:C21)"),7.0)</f>
        <v>7</v>
      </c>
      <c r="D25" s="13">
        <f>IFERROR(__xludf.DUMMYFUNCTION("COUNTUNIQUE(D2:D21)"),14.0)</f>
        <v>14</v>
      </c>
      <c r="E25" s="13">
        <f>IFERROR(__xludf.DUMMYFUNCTION("COUNTUNIQUE(F2:F21)"),20.0)</f>
        <v>20</v>
      </c>
      <c r="F25" s="14">
        <f t="shared" ref="F25:H25" si="1">SUM(H2:H21)</f>
        <v>438</v>
      </c>
      <c r="G25" s="14">
        <f t="shared" si="1"/>
        <v>70</v>
      </c>
      <c r="H25" s="14">
        <f t="shared" si="1"/>
        <v>162</v>
      </c>
      <c r="I25" s="13">
        <f>IFERROR(__xludf.DUMMYFUNCTION("COUNTUNIQUE(K2:K21)"),5.0)</f>
        <v>5</v>
      </c>
      <c r="J25" s="19"/>
      <c r="K25" s="19"/>
    </row>
    <row r="26">
      <c r="A26" s="15"/>
      <c r="B26" s="15"/>
      <c r="C26" s="15"/>
      <c r="D26" s="15"/>
      <c r="E26" s="15"/>
      <c r="F26" s="15"/>
      <c r="G26" s="15"/>
      <c r="H26" s="16"/>
      <c r="I26" s="16"/>
      <c r="J26" s="16"/>
      <c r="K26" s="17"/>
    </row>
  </sheetData>
  <mergeCells count="1">
    <mergeCell ref="A23:I2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7.88"/>
  </cols>
  <sheetData>
    <row r="1">
      <c r="A1" s="9" t="s">
        <v>1</v>
      </c>
      <c r="B1" s="9" t="s">
        <v>2</v>
      </c>
      <c r="C1" s="9" t="s">
        <v>3</v>
      </c>
      <c r="D1" s="9" t="s">
        <v>4</v>
      </c>
      <c r="E1" s="9" t="s">
        <v>0</v>
      </c>
      <c r="F1" s="9" t="s">
        <v>5</v>
      </c>
      <c r="G1" s="9" t="s">
        <v>7</v>
      </c>
      <c r="H1" s="10" t="s">
        <v>102</v>
      </c>
      <c r="I1" s="10" t="s">
        <v>103</v>
      </c>
      <c r="J1" s="10" t="s">
        <v>107</v>
      </c>
      <c r="K1" s="5" t="s">
        <v>91</v>
      </c>
      <c r="L1" s="20"/>
      <c r="M1" s="20"/>
      <c r="N1" s="20"/>
      <c r="O1" s="20"/>
      <c r="P1" s="20"/>
      <c r="Q1" s="20"/>
      <c r="R1" s="20"/>
      <c r="S1" s="20"/>
      <c r="T1" s="20"/>
      <c r="U1" s="20"/>
      <c r="V1" s="20"/>
      <c r="W1" s="20"/>
      <c r="X1" s="20"/>
      <c r="Y1" s="20"/>
      <c r="Z1" s="20"/>
    </row>
    <row r="2">
      <c r="A2" s="11" t="s">
        <v>51</v>
      </c>
      <c r="B2" s="11" t="s">
        <v>52</v>
      </c>
      <c r="C2" s="11" t="s">
        <v>73</v>
      </c>
      <c r="D2" s="11" t="s">
        <v>74</v>
      </c>
      <c r="E2" s="11" t="s">
        <v>72</v>
      </c>
      <c r="F2" s="13" t="s">
        <v>11</v>
      </c>
      <c r="G2" s="13" t="s">
        <v>18</v>
      </c>
      <c r="H2" s="14">
        <v>133.0</v>
      </c>
      <c r="I2" s="14">
        <v>2.0</v>
      </c>
      <c r="J2" s="14">
        <v>0.0</v>
      </c>
      <c r="K2" s="7" t="s">
        <v>93</v>
      </c>
      <c r="L2" s="20"/>
      <c r="M2" s="20"/>
      <c r="N2" s="20"/>
      <c r="O2" s="20"/>
      <c r="P2" s="20"/>
      <c r="Q2" s="20"/>
      <c r="R2" s="20"/>
      <c r="S2" s="20"/>
      <c r="T2" s="20"/>
      <c r="U2" s="20"/>
      <c r="V2" s="20"/>
      <c r="W2" s="20"/>
      <c r="X2" s="20"/>
      <c r="Y2" s="20"/>
      <c r="Z2" s="20"/>
    </row>
    <row r="3">
      <c r="A3" s="11" t="s">
        <v>51</v>
      </c>
      <c r="B3" s="11" t="s">
        <v>79</v>
      </c>
      <c r="C3" s="11" t="s">
        <v>80</v>
      </c>
      <c r="D3" s="11" t="s">
        <v>108</v>
      </c>
      <c r="E3" s="11" t="s">
        <v>109</v>
      </c>
      <c r="F3" s="13"/>
      <c r="G3" s="13" t="s">
        <v>110</v>
      </c>
      <c r="H3" s="14">
        <v>65.0</v>
      </c>
      <c r="I3" s="14">
        <v>12.0</v>
      </c>
      <c r="J3" s="14">
        <v>40.0</v>
      </c>
      <c r="K3" s="7" t="s">
        <v>93</v>
      </c>
      <c r="L3" s="20"/>
      <c r="M3" s="20"/>
      <c r="N3" s="20"/>
      <c r="O3" s="20"/>
      <c r="P3" s="20"/>
      <c r="Q3" s="20"/>
      <c r="R3" s="20"/>
      <c r="S3" s="20"/>
      <c r="T3" s="20"/>
      <c r="U3" s="20"/>
      <c r="V3" s="20"/>
      <c r="W3" s="20"/>
      <c r="X3" s="20"/>
      <c r="Y3" s="20"/>
      <c r="Z3" s="20"/>
    </row>
    <row r="4">
      <c r="A4" s="11" t="s">
        <v>51</v>
      </c>
      <c r="B4" s="11" t="s">
        <v>52</v>
      </c>
      <c r="C4" s="11" t="s">
        <v>111</v>
      </c>
      <c r="D4" s="11" t="s">
        <v>59</v>
      </c>
      <c r="E4" s="11" t="s">
        <v>112</v>
      </c>
      <c r="F4" s="13" t="s">
        <v>113</v>
      </c>
      <c r="G4" s="13" t="s">
        <v>13</v>
      </c>
      <c r="H4" s="14">
        <v>19.0</v>
      </c>
      <c r="I4" s="14">
        <v>0.0</v>
      </c>
      <c r="J4" s="14">
        <v>0.0</v>
      </c>
      <c r="K4" s="7" t="s">
        <v>93</v>
      </c>
      <c r="L4" s="20"/>
      <c r="M4" s="20"/>
      <c r="N4" s="20"/>
      <c r="O4" s="20"/>
      <c r="P4" s="20"/>
      <c r="Q4" s="20"/>
      <c r="R4" s="20"/>
      <c r="S4" s="20"/>
      <c r="T4" s="20"/>
      <c r="U4" s="20"/>
      <c r="V4" s="20"/>
      <c r="W4" s="20"/>
      <c r="X4" s="20"/>
      <c r="Y4" s="20"/>
      <c r="Z4" s="20"/>
    </row>
    <row r="5">
      <c r="A5" s="11" t="s">
        <v>9</v>
      </c>
      <c r="B5" s="11" t="s">
        <v>9</v>
      </c>
      <c r="C5" s="11" t="s">
        <v>9</v>
      </c>
      <c r="D5" s="11" t="s">
        <v>15</v>
      </c>
      <c r="E5" s="11" t="s">
        <v>114</v>
      </c>
      <c r="F5" s="13" t="s">
        <v>19</v>
      </c>
      <c r="G5" s="13" t="s">
        <v>13</v>
      </c>
      <c r="H5" s="14">
        <v>27.0</v>
      </c>
      <c r="I5" s="14"/>
      <c r="J5" s="14"/>
      <c r="K5" s="6" t="s">
        <v>95</v>
      </c>
      <c r="L5" s="20"/>
      <c r="M5" s="20"/>
      <c r="N5" s="20"/>
      <c r="O5" s="20"/>
      <c r="P5" s="20"/>
      <c r="Q5" s="20"/>
      <c r="R5" s="20"/>
      <c r="S5" s="20"/>
      <c r="T5" s="20"/>
      <c r="U5" s="20"/>
      <c r="V5" s="20"/>
      <c r="W5" s="20"/>
      <c r="X5" s="20"/>
      <c r="Y5" s="20"/>
      <c r="Z5" s="20"/>
    </row>
    <row r="6">
      <c r="A6" s="11" t="s">
        <v>21</v>
      </c>
      <c r="B6" s="11" t="s">
        <v>22</v>
      </c>
      <c r="C6" s="11" t="s">
        <v>42</v>
      </c>
      <c r="D6" s="11" t="s">
        <v>43</v>
      </c>
      <c r="E6" s="11" t="s">
        <v>41</v>
      </c>
      <c r="F6" s="13">
        <v>1795707.0</v>
      </c>
      <c r="G6" s="13" t="s">
        <v>13</v>
      </c>
      <c r="H6" s="14">
        <v>16.0</v>
      </c>
      <c r="I6" s="14"/>
      <c r="J6" s="14">
        <v>30.0</v>
      </c>
      <c r="K6" s="6" t="s">
        <v>97</v>
      </c>
      <c r="L6" s="20"/>
      <c r="M6" s="20"/>
      <c r="N6" s="20"/>
      <c r="O6" s="20"/>
      <c r="P6" s="20"/>
      <c r="Q6" s="20"/>
      <c r="R6" s="20"/>
      <c r="S6" s="20"/>
      <c r="T6" s="20"/>
      <c r="U6" s="20"/>
      <c r="V6" s="20"/>
      <c r="W6" s="20"/>
      <c r="X6" s="20"/>
      <c r="Y6" s="20"/>
      <c r="Z6" s="20"/>
    </row>
    <row r="7">
      <c r="A7" s="20"/>
      <c r="B7" s="20"/>
      <c r="C7" s="20"/>
      <c r="D7" s="20"/>
      <c r="E7" s="20"/>
      <c r="F7" s="20"/>
      <c r="G7" s="20"/>
      <c r="H7" s="20"/>
      <c r="I7" s="20"/>
      <c r="J7" s="20"/>
      <c r="K7" s="7"/>
      <c r="L7" s="20"/>
      <c r="M7" s="20"/>
      <c r="N7" s="20"/>
      <c r="O7" s="20"/>
      <c r="P7" s="20"/>
      <c r="Q7" s="20"/>
      <c r="R7" s="20"/>
      <c r="S7" s="20"/>
      <c r="T7" s="20"/>
      <c r="U7" s="20"/>
      <c r="V7" s="20"/>
      <c r="W7" s="20"/>
      <c r="X7" s="20"/>
      <c r="Y7" s="20"/>
      <c r="Z7" s="20"/>
    </row>
    <row r="8">
      <c r="A8" s="20"/>
      <c r="B8" s="20"/>
      <c r="C8" s="20"/>
      <c r="D8" s="20"/>
      <c r="E8" s="20"/>
      <c r="F8" s="20"/>
      <c r="G8" s="20"/>
      <c r="H8" s="20"/>
      <c r="I8" s="20"/>
      <c r="J8" s="20"/>
      <c r="K8" s="20"/>
      <c r="L8" s="20"/>
      <c r="M8" s="20"/>
      <c r="N8" s="20"/>
      <c r="O8" s="20"/>
      <c r="P8" s="20"/>
      <c r="Q8" s="20"/>
      <c r="R8" s="20"/>
      <c r="S8" s="20"/>
      <c r="T8" s="20"/>
      <c r="U8" s="20"/>
      <c r="V8" s="20"/>
      <c r="W8" s="20"/>
      <c r="X8" s="20"/>
      <c r="Y8" s="20"/>
      <c r="Z8" s="20"/>
    </row>
    <row r="9">
      <c r="A9" s="20"/>
      <c r="B9" s="20"/>
      <c r="C9" s="20"/>
      <c r="D9" s="20"/>
      <c r="E9" s="20"/>
      <c r="F9" s="20"/>
      <c r="G9" s="20"/>
      <c r="H9" s="20"/>
      <c r="I9" s="20"/>
      <c r="J9" s="20"/>
      <c r="K9" s="20"/>
      <c r="L9" s="20"/>
      <c r="M9" s="20"/>
      <c r="N9" s="20"/>
      <c r="O9" s="20"/>
      <c r="P9" s="20"/>
      <c r="Q9" s="20"/>
      <c r="R9" s="20"/>
      <c r="S9" s="20"/>
      <c r="T9" s="20"/>
      <c r="U9" s="20"/>
      <c r="V9" s="20"/>
      <c r="W9" s="20"/>
      <c r="X9" s="20"/>
      <c r="Y9" s="20"/>
      <c r="Z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13"/>
    <col customWidth="1" min="2" max="2" width="59.38"/>
    <col customWidth="1" min="3" max="3" width="46.5"/>
  </cols>
  <sheetData>
    <row r="1">
      <c r="A1" s="5" t="s">
        <v>115</v>
      </c>
      <c r="B1" s="5" t="s">
        <v>116</v>
      </c>
      <c r="C1" s="5" t="s">
        <v>117</v>
      </c>
      <c r="D1" s="5" t="s">
        <v>91</v>
      </c>
    </row>
    <row r="2">
      <c r="A2" s="6" t="s">
        <v>118</v>
      </c>
      <c r="B2" s="6" t="s">
        <v>119</v>
      </c>
      <c r="C2" s="6" t="s">
        <v>120</v>
      </c>
      <c r="D2" s="7" t="s">
        <v>93</v>
      </c>
    </row>
    <row r="3">
      <c r="A3" s="6" t="s">
        <v>121</v>
      </c>
      <c r="B3" s="6" t="s">
        <v>122</v>
      </c>
      <c r="C3" s="6" t="s">
        <v>123</v>
      </c>
      <c r="D3" s="6" t="s">
        <v>95</v>
      </c>
    </row>
    <row r="4">
      <c r="A4" s="6" t="s">
        <v>124</v>
      </c>
      <c r="B4" s="6" t="s">
        <v>125</v>
      </c>
      <c r="C4" s="6" t="s">
        <v>126</v>
      </c>
      <c r="D4" s="6" t="s">
        <v>97</v>
      </c>
    </row>
    <row r="5">
      <c r="A5" s="6" t="s">
        <v>127</v>
      </c>
      <c r="B5" s="6" t="s">
        <v>128</v>
      </c>
      <c r="C5" s="6" t="s">
        <v>129</v>
      </c>
      <c r="D5" s="6" t="s">
        <v>99</v>
      </c>
    </row>
    <row r="6">
      <c r="A6" s="6" t="s">
        <v>130</v>
      </c>
      <c r="B6" s="6" t="s">
        <v>130</v>
      </c>
      <c r="C6" s="6" t="s">
        <v>131</v>
      </c>
      <c r="D6" s="7" t="s">
        <v>101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5.63"/>
    <col customWidth="1" min="9" max="9" width="16.75"/>
    <col customWidth="1" min="10" max="10" width="26.38"/>
  </cols>
  <sheetData>
    <row r="1">
      <c r="A1" s="5" t="s">
        <v>1</v>
      </c>
      <c r="B1" s="5" t="s">
        <v>2</v>
      </c>
      <c r="C1" s="5" t="s">
        <v>3</v>
      </c>
      <c r="D1" s="5" t="s">
        <v>4</v>
      </c>
      <c r="E1" s="5" t="s">
        <v>0</v>
      </c>
      <c r="F1" s="5" t="s">
        <v>132</v>
      </c>
      <c r="G1" s="5" t="s">
        <v>133</v>
      </c>
      <c r="H1" s="5" t="s">
        <v>134</v>
      </c>
      <c r="I1" s="5" t="s">
        <v>135</v>
      </c>
      <c r="J1" s="5" t="s">
        <v>91</v>
      </c>
    </row>
    <row r="2">
      <c r="A2" s="21" t="s">
        <v>51</v>
      </c>
      <c r="B2" s="21" t="s">
        <v>52</v>
      </c>
      <c r="C2" s="21" t="s">
        <v>53</v>
      </c>
      <c r="D2" s="21" t="s">
        <v>54</v>
      </c>
      <c r="E2" s="21">
        <v>20851.0</v>
      </c>
      <c r="F2" s="22">
        <v>45879.0</v>
      </c>
      <c r="G2" s="7" t="s">
        <v>136</v>
      </c>
      <c r="H2" s="21" t="s">
        <v>137</v>
      </c>
      <c r="I2" s="21" t="s">
        <v>138</v>
      </c>
      <c r="J2" s="23" t="s">
        <v>93</v>
      </c>
    </row>
    <row r="3">
      <c r="A3" s="21" t="s">
        <v>51</v>
      </c>
      <c r="B3" s="21" t="s">
        <v>52</v>
      </c>
      <c r="C3" s="21" t="s">
        <v>53</v>
      </c>
      <c r="D3" s="21" t="s">
        <v>54</v>
      </c>
      <c r="E3" s="21">
        <v>20851.0</v>
      </c>
      <c r="F3" s="22">
        <v>45881.0</v>
      </c>
      <c r="G3" s="7" t="s">
        <v>139</v>
      </c>
      <c r="H3" s="21" t="s">
        <v>140</v>
      </c>
      <c r="I3" s="21" t="s">
        <v>141</v>
      </c>
      <c r="J3" s="23" t="s">
        <v>93</v>
      </c>
    </row>
    <row r="4">
      <c r="A4" s="21" t="s">
        <v>51</v>
      </c>
      <c r="B4" s="21" t="s">
        <v>79</v>
      </c>
      <c r="C4" s="21" t="s">
        <v>80</v>
      </c>
      <c r="D4" s="21" t="s">
        <v>81</v>
      </c>
      <c r="E4" s="21" t="s">
        <v>78</v>
      </c>
      <c r="F4" s="22">
        <v>45882.0</v>
      </c>
      <c r="G4" s="7" t="s">
        <v>139</v>
      </c>
      <c r="H4" s="21" t="s">
        <v>142</v>
      </c>
      <c r="I4" s="21" t="s">
        <v>143</v>
      </c>
      <c r="J4" s="23" t="s">
        <v>93</v>
      </c>
    </row>
    <row r="5">
      <c r="A5" s="21" t="s">
        <v>51</v>
      </c>
      <c r="B5" s="21" t="s">
        <v>52</v>
      </c>
      <c r="C5" s="21" t="s">
        <v>80</v>
      </c>
      <c r="D5" s="21" t="s">
        <v>81</v>
      </c>
      <c r="E5" s="21" t="s">
        <v>78</v>
      </c>
      <c r="F5" s="22">
        <v>45883.0</v>
      </c>
      <c r="G5" s="7" t="s">
        <v>139</v>
      </c>
      <c r="H5" s="21" t="s">
        <v>142</v>
      </c>
      <c r="I5" s="21" t="s">
        <v>144</v>
      </c>
      <c r="J5" s="23" t="s">
        <v>93</v>
      </c>
    </row>
    <row r="6">
      <c r="A6" s="21" t="s">
        <v>51</v>
      </c>
      <c r="B6" s="21" t="s">
        <v>52</v>
      </c>
      <c r="C6" s="21" t="s">
        <v>59</v>
      </c>
      <c r="D6" s="21" t="s">
        <v>60</v>
      </c>
      <c r="E6" s="21">
        <v>86260.0</v>
      </c>
      <c r="F6" s="22">
        <v>45884.0</v>
      </c>
      <c r="G6" s="7" t="s">
        <v>139</v>
      </c>
      <c r="H6" s="21" t="s">
        <v>142</v>
      </c>
      <c r="I6" s="21" t="s">
        <v>145</v>
      </c>
      <c r="J6" s="23" t="s">
        <v>93</v>
      </c>
    </row>
    <row r="7">
      <c r="A7" s="21" t="s">
        <v>51</v>
      </c>
      <c r="B7" s="21" t="s">
        <v>52</v>
      </c>
      <c r="C7" s="21" t="s">
        <v>53</v>
      </c>
      <c r="D7" s="21" t="s">
        <v>54</v>
      </c>
      <c r="E7" s="21">
        <v>20851.0</v>
      </c>
      <c r="F7" s="22">
        <v>45889.0</v>
      </c>
      <c r="G7" s="7" t="s">
        <v>146</v>
      </c>
      <c r="H7" s="21" t="s">
        <v>147</v>
      </c>
      <c r="I7" s="21" t="s">
        <v>148</v>
      </c>
      <c r="J7" s="23" t="s">
        <v>93</v>
      </c>
    </row>
    <row r="8">
      <c r="A8" s="21" t="s">
        <v>51</v>
      </c>
      <c r="B8" s="21" t="s">
        <v>52</v>
      </c>
      <c r="C8" s="21" t="s">
        <v>59</v>
      </c>
      <c r="D8" s="21" t="s">
        <v>60</v>
      </c>
      <c r="E8" s="21">
        <v>20260.0</v>
      </c>
      <c r="F8" s="22">
        <v>45890.0</v>
      </c>
      <c r="G8" s="7" t="s">
        <v>146</v>
      </c>
      <c r="H8" s="21" t="s">
        <v>147</v>
      </c>
      <c r="I8" s="21" t="s">
        <v>149</v>
      </c>
      <c r="J8" s="23" t="s">
        <v>93</v>
      </c>
    </row>
    <row r="9">
      <c r="A9" s="21" t="s">
        <v>51</v>
      </c>
      <c r="B9" s="21" t="s">
        <v>52</v>
      </c>
      <c r="C9" s="21" t="s">
        <v>59</v>
      </c>
      <c r="D9" s="21" t="s">
        <v>60</v>
      </c>
      <c r="E9" s="21">
        <v>20260.0</v>
      </c>
      <c r="F9" s="22">
        <v>45890.0</v>
      </c>
      <c r="G9" s="7" t="s">
        <v>150</v>
      </c>
      <c r="H9" s="21" t="s">
        <v>137</v>
      </c>
      <c r="I9" s="21" t="s">
        <v>151</v>
      </c>
      <c r="J9" s="23" t="s">
        <v>93</v>
      </c>
    </row>
    <row r="10">
      <c r="A10" s="21" t="s">
        <v>51</v>
      </c>
      <c r="B10" s="21" t="s">
        <v>52</v>
      </c>
      <c r="C10" s="21" t="s">
        <v>59</v>
      </c>
      <c r="D10" s="21" t="s">
        <v>60</v>
      </c>
      <c r="E10" s="21">
        <v>20260.0</v>
      </c>
      <c r="F10" s="22">
        <v>45891.0</v>
      </c>
      <c r="G10" s="7" t="s">
        <v>152</v>
      </c>
      <c r="H10" s="21" t="s">
        <v>153</v>
      </c>
      <c r="I10" s="21" t="s">
        <v>154</v>
      </c>
      <c r="J10" s="23" t="s">
        <v>93</v>
      </c>
    </row>
    <row r="11">
      <c r="A11" s="21" t="s">
        <v>51</v>
      </c>
      <c r="B11" s="21" t="s">
        <v>52</v>
      </c>
      <c r="C11" s="21" t="s">
        <v>53</v>
      </c>
      <c r="D11" s="21" t="s">
        <v>54</v>
      </c>
      <c r="E11" s="21">
        <v>20851.0</v>
      </c>
      <c r="F11" s="22">
        <v>45895.0</v>
      </c>
      <c r="G11" s="7" t="s">
        <v>155</v>
      </c>
      <c r="H11" s="21" t="s">
        <v>153</v>
      </c>
      <c r="I11" s="21" t="s">
        <v>156</v>
      </c>
      <c r="J11" s="23" t="s">
        <v>93</v>
      </c>
    </row>
    <row r="12">
      <c r="A12" s="21" t="s">
        <v>51</v>
      </c>
      <c r="B12" s="21" t="s">
        <v>79</v>
      </c>
      <c r="C12" s="21" t="s">
        <v>80</v>
      </c>
      <c r="D12" s="21" t="s">
        <v>81</v>
      </c>
      <c r="E12" s="21" t="s">
        <v>78</v>
      </c>
      <c r="F12" s="22">
        <v>45896.0</v>
      </c>
      <c r="G12" s="7" t="s">
        <v>152</v>
      </c>
      <c r="H12" s="21" t="s">
        <v>153</v>
      </c>
      <c r="I12" s="21" t="s">
        <v>157</v>
      </c>
      <c r="J12" s="23" t="s">
        <v>93</v>
      </c>
    </row>
    <row r="13">
      <c r="A13" s="21" t="s">
        <v>51</v>
      </c>
      <c r="B13" s="21" t="s">
        <v>79</v>
      </c>
      <c r="C13" s="21" t="s">
        <v>80</v>
      </c>
      <c r="D13" s="21" t="s">
        <v>81</v>
      </c>
      <c r="E13" s="21" t="s">
        <v>78</v>
      </c>
      <c r="F13" s="22">
        <v>45897.0</v>
      </c>
      <c r="G13" s="7" t="s">
        <v>158</v>
      </c>
      <c r="H13" s="21" t="s">
        <v>153</v>
      </c>
      <c r="I13" s="21" t="s">
        <v>159</v>
      </c>
      <c r="J13" s="23" t="s">
        <v>93</v>
      </c>
    </row>
    <row r="14">
      <c r="A14" s="21" t="s">
        <v>51</v>
      </c>
      <c r="B14" s="21" t="s">
        <v>52</v>
      </c>
      <c r="C14" s="21" t="s">
        <v>53</v>
      </c>
      <c r="D14" s="21" t="s">
        <v>64</v>
      </c>
      <c r="E14" s="21" t="s">
        <v>160</v>
      </c>
      <c r="F14" s="22">
        <v>45903.0</v>
      </c>
      <c r="G14" s="7" t="s">
        <v>139</v>
      </c>
      <c r="H14" s="21" t="s">
        <v>140</v>
      </c>
      <c r="I14" s="21" t="s">
        <v>161</v>
      </c>
      <c r="J14" s="23" t="s">
        <v>93</v>
      </c>
    </row>
    <row r="15">
      <c r="A15" s="21" t="s">
        <v>51</v>
      </c>
      <c r="B15" s="21" t="s">
        <v>52</v>
      </c>
      <c r="C15" s="21" t="s">
        <v>53</v>
      </c>
      <c r="D15" s="21" t="s">
        <v>64</v>
      </c>
      <c r="E15" s="21" t="s">
        <v>160</v>
      </c>
      <c r="F15" s="22">
        <v>45905.0</v>
      </c>
      <c r="G15" s="7" t="s">
        <v>139</v>
      </c>
      <c r="H15" s="21" t="s">
        <v>140</v>
      </c>
      <c r="I15" s="21" t="s">
        <v>162</v>
      </c>
      <c r="J15" s="23" t="s">
        <v>93</v>
      </c>
    </row>
    <row r="16">
      <c r="A16" s="21" t="s">
        <v>51</v>
      </c>
      <c r="B16" s="21" t="s">
        <v>52</v>
      </c>
      <c r="C16" s="21" t="s">
        <v>53</v>
      </c>
      <c r="D16" s="21" t="s">
        <v>64</v>
      </c>
      <c r="E16" s="21" t="s">
        <v>160</v>
      </c>
      <c r="F16" s="22">
        <v>45908.0</v>
      </c>
      <c r="G16" s="7" t="s">
        <v>139</v>
      </c>
      <c r="H16" s="21" t="s">
        <v>140</v>
      </c>
      <c r="I16" s="21" t="s">
        <v>163</v>
      </c>
      <c r="J16" s="23" t="s">
        <v>93</v>
      </c>
    </row>
    <row r="17">
      <c r="A17" s="21" t="s">
        <v>51</v>
      </c>
      <c r="B17" s="21" t="s">
        <v>52</v>
      </c>
      <c r="C17" s="21" t="s">
        <v>53</v>
      </c>
      <c r="D17" s="21" t="s">
        <v>54</v>
      </c>
      <c r="E17" s="21">
        <v>20851.0</v>
      </c>
      <c r="F17" s="22">
        <v>45909.0</v>
      </c>
      <c r="G17" s="7" t="s">
        <v>164</v>
      </c>
      <c r="H17" s="21" t="s">
        <v>165</v>
      </c>
      <c r="I17" s="21" t="s">
        <v>166</v>
      </c>
      <c r="J17" s="23" t="s">
        <v>93</v>
      </c>
    </row>
    <row r="18">
      <c r="A18" s="21" t="s">
        <v>51</v>
      </c>
      <c r="B18" s="21" t="s">
        <v>79</v>
      </c>
      <c r="C18" s="21" t="s">
        <v>80</v>
      </c>
      <c r="D18" s="21" t="s">
        <v>81</v>
      </c>
      <c r="E18" s="21" t="s">
        <v>78</v>
      </c>
      <c r="F18" s="22">
        <v>45910.0</v>
      </c>
      <c r="G18" s="7" t="s">
        <v>164</v>
      </c>
      <c r="H18" s="21" t="s">
        <v>165</v>
      </c>
      <c r="I18" s="21" t="s">
        <v>157</v>
      </c>
      <c r="J18" s="23" t="s">
        <v>93</v>
      </c>
    </row>
    <row r="19">
      <c r="A19" s="21" t="s">
        <v>51</v>
      </c>
      <c r="B19" s="21" t="s">
        <v>79</v>
      </c>
      <c r="C19" s="21" t="s">
        <v>80</v>
      </c>
      <c r="D19" s="21" t="s">
        <v>81</v>
      </c>
      <c r="E19" s="21" t="s">
        <v>78</v>
      </c>
      <c r="F19" s="22">
        <v>45911.0</v>
      </c>
      <c r="G19" s="7" t="s">
        <v>164</v>
      </c>
      <c r="H19" s="21" t="s">
        <v>165</v>
      </c>
      <c r="I19" s="21" t="s">
        <v>159</v>
      </c>
      <c r="J19" s="23" t="s">
        <v>93</v>
      </c>
    </row>
    <row r="20">
      <c r="A20" s="21" t="s">
        <v>51</v>
      </c>
      <c r="B20" s="21" t="s">
        <v>52</v>
      </c>
      <c r="C20" s="21" t="s">
        <v>59</v>
      </c>
      <c r="D20" s="21" t="s">
        <v>60</v>
      </c>
      <c r="E20" s="21">
        <v>20260.0</v>
      </c>
      <c r="F20" s="22">
        <v>45912.0</v>
      </c>
      <c r="G20" s="7" t="s">
        <v>164</v>
      </c>
      <c r="H20" s="21" t="s">
        <v>165</v>
      </c>
      <c r="I20" s="21" t="s">
        <v>154</v>
      </c>
      <c r="J20" s="23" t="s">
        <v>93</v>
      </c>
    </row>
    <row r="21">
      <c r="A21" s="21" t="s">
        <v>51</v>
      </c>
      <c r="B21" s="21" t="s">
        <v>52</v>
      </c>
      <c r="C21" s="21" t="s">
        <v>53</v>
      </c>
      <c r="D21" s="21" t="s">
        <v>64</v>
      </c>
      <c r="E21" s="21" t="s">
        <v>160</v>
      </c>
      <c r="F21" s="22">
        <v>45915.0</v>
      </c>
      <c r="G21" s="7" t="s">
        <v>155</v>
      </c>
      <c r="H21" s="21" t="s">
        <v>153</v>
      </c>
      <c r="I21" s="21" t="s">
        <v>161</v>
      </c>
      <c r="J21" s="23" t="s">
        <v>93</v>
      </c>
    </row>
    <row r="22">
      <c r="A22" s="21" t="s">
        <v>51</v>
      </c>
      <c r="B22" s="21" t="s">
        <v>79</v>
      </c>
      <c r="C22" s="21" t="s">
        <v>80</v>
      </c>
      <c r="D22" s="21" t="s">
        <v>81</v>
      </c>
      <c r="E22" s="21" t="s">
        <v>78</v>
      </c>
      <c r="F22" s="22">
        <v>45916.0</v>
      </c>
      <c r="G22" s="7" t="s">
        <v>167</v>
      </c>
      <c r="H22" s="21" t="s">
        <v>147</v>
      </c>
      <c r="I22" s="21" t="s">
        <v>168</v>
      </c>
      <c r="J22" s="23" t="s">
        <v>93</v>
      </c>
    </row>
    <row r="23">
      <c r="A23" s="21" t="s">
        <v>51</v>
      </c>
      <c r="B23" s="21" t="s">
        <v>52</v>
      </c>
      <c r="C23" s="21" t="s">
        <v>53</v>
      </c>
      <c r="D23" s="21" t="s">
        <v>64</v>
      </c>
      <c r="E23" s="21" t="s">
        <v>160</v>
      </c>
      <c r="F23" s="22">
        <v>45917.0</v>
      </c>
      <c r="G23" s="7" t="s">
        <v>155</v>
      </c>
      <c r="H23" s="21" t="s">
        <v>169</v>
      </c>
      <c r="I23" s="21" t="s">
        <v>161</v>
      </c>
      <c r="J23" s="23" t="s">
        <v>93</v>
      </c>
    </row>
    <row r="24">
      <c r="A24" s="21" t="s">
        <v>51</v>
      </c>
      <c r="B24" s="21" t="s">
        <v>52</v>
      </c>
      <c r="C24" s="21" t="s">
        <v>53</v>
      </c>
      <c r="D24" s="21" t="s">
        <v>64</v>
      </c>
      <c r="E24" s="21" t="s">
        <v>160</v>
      </c>
      <c r="F24" s="22">
        <v>45918.0</v>
      </c>
      <c r="G24" s="7" t="s">
        <v>170</v>
      </c>
      <c r="H24" s="21" t="s">
        <v>169</v>
      </c>
      <c r="I24" s="21" t="s">
        <v>171</v>
      </c>
      <c r="J24" s="23" t="s">
        <v>93</v>
      </c>
    </row>
    <row r="25">
      <c r="A25" s="21" t="s">
        <v>51</v>
      </c>
      <c r="B25" s="21" t="s">
        <v>52</v>
      </c>
      <c r="C25" s="21" t="s">
        <v>53</v>
      </c>
      <c r="D25" s="21" t="s">
        <v>64</v>
      </c>
      <c r="E25" s="21" t="s">
        <v>160</v>
      </c>
      <c r="F25" s="22">
        <v>45919.0</v>
      </c>
      <c r="G25" s="7" t="s">
        <v>172</v>
      </c>
      <c r="H25" s="21" t="s">
        <v>173</v>
      </c>
      <c r="I25" s="21" t="s">
        <v>174</v>
      </c>
      <c r="J25" s="23" t="s">
        <v>93</v>
      </c>
    </row>
    <row r="26">
      <c r="A26" s="21" t="s">
        <v>51</v>
      </c>
      <c r="B26" s="21" t="s">
        <v>52</v>
      </c>
      <c r="C26" s="21" t="s">
        <v>53</v>
      </c>
      <c r="D26" s="21" t="s">
        <v>64</v>
      </c>
      <c r="E26" s="21" t="s">
        <v>160</v>
      </c>
      <c r="F26" s="22">
        <v>45922.0</v>
      </c>
      <c r="G26" s="7" t="s">
        <v>172</v>
      </c>
      <c r="H26" s="21" t="s">
        <v>173</v>
      </c>
      <c r="I26" s="21" t="s">
        <v>175</v>
      </c>
      <c r="J26" s="23" t="s">
        <v>93</v>
      </c>
    </row>
    <row r="27">
      <c r="A27" s="21" t="s">
        <v>51</v>
      </c>
      <c r="B27" s="21" t="s">
        <v>52</v>
      </c>
      <c r="C27" s="21" t="s">
        <v>53</v>
      </c>
      <c r="D27" s="21" t="s">
        <v>54</v>
      </c>
      <c r="E27" s="21">
        <v>20851.0</v>
      </c>
      <c r="F27" s="22">
        <v>45923.0</v>
      </c>
      <c r="G27" s="7" t="s">
        <v>176</v>
      </c>
      <c r="H27" s="21" t="s">
        <v>177</v>
      </c>
      <c r="I27" s="21" t="s">
        <v>178</v>
      </c>
      <c r="J27" s="23" t="s">
        <v>93</v>
      </c>
    </row>
    <row r="28">
      <c r="A28" s="21" t="s">
        <v>51</v>
      </c>
      <c r="B28" s="21" t="s">
        <v>52</v>
      </c>
      <c r="C28" s="21" t="s">
        <v>53</v>
      </c>
      <c r="D28" s="21" t="s">
        <v>54</v>
      </c>
      <c r="E28" s="21">
        <v>20851.0</v>
      </c>
      <c r="F28" s="22">
        <v>45923.0</v>
      </c>
      <c r="G28" s="7" t="s">
        <v>179</v>
      </c>
      <c r="H28" s="21" t="s">
        <v>180</v>
      </c>
      <c r="I28" s="21" t="s">
        <v>181</v>
      </c>
      <c r="J28" s="23" t="s">
        <v>93</v>
      </c>
    </row>
    <row r="29">
      <c r="A29" s="21" t="s">
        <v>51</v>
      </c>
      <c r="B29" s="21" t="s">
        <v>79</v>
      </c>
      <c r="C29" s="21" t="s">
        <v>80</v>
      </c>
      <c r="D29" s="21" t="s">
        <v>81</v>
      </c>
      <c r="E29" s="21" t="s">
        <v>78</v>
      </c>
      <c r="F29" s="22">
        <v>45924.0</v>
      </c>
      <c r="G29" s="7" t="s">
        <v>176</v>
      </c>
      <c r="H29" s="21" t="s">
        <v>177</v>
      </c>
      <c r="I29" s="21" t="s">
        <v>182</v>
      </c>
      <c r="J29" s="23" t="s">
        <v>93</v>
      </c>
    </row>
    <row r="30">
      <c r="A30" s="21" t="s">
        <v>51</v>
      </c>
      <c r="B30" s="21" t="s">
        <v>79</v>
      </c>
      <c r="C30" s="21" t="s">
        <v>80</v>
      </c>
      <c r="D30" s="21" t="s">
        <v>81</v>
      </c>
      <c r="E30" s="21" t="s">
        <v>78</v>
      </c>
      <c r="F30" s="22">
        <v>45925.0</v>
      </c>
      <c r="G30" s="7" t="s">
        <v>176</v>
      </c>
      <c r="H30" s="21" t="s">
        <v>177</v>
      </c>
      <c r="I30" s="21" t="s">
        <v>183</v>
      </c>
      <c r="J30" s="23" t="s">
        <v>93</v>
      </c>
    </row>
    <row r="31">
      <c r="A31" s="21" t="s">
        <v>51</v>
      </c>
      <c r="B31" s="21" t="s">
        <v>52</v>
      </c>
      <c r="C31" s="21" t="s">
        <v>59</v>
      </c>
      <c r="D31" s="21" t="s">
        <v>60</v>
      </c>
      <c r="E31" s="21">
        <v>20260.0</v>
      </c>
      <c r="F31" s="22">
        <v>45895.0</v>
      </c>
      <c r="G31" s="7" t="s">
        <v>176</v>
      </c>
      <c r="H31" s="21" t="s">
        <v>177</v>
      </c>
      <c r="I31" s="21" t="s">
        <v>154</v>
      </c>
      <c r="J31" s="23" t="s">
        <v>93</v>
      </c>
    </row>
    <row r="32">
      <c r="A32" s="21" t="s">
        <v>51</v>
      </c>
      <c r="B32" s="21" t="s">
        <v>52</v>
      </c>
      <c r="C32" s="21" t="s">
        <v>53</v>
      </c>
      <c r="D32" s="21" t="s">
        <v>54</v>
      </c>
      <c r="E32" s="21">
        <v>20851.0</v>
      </c>
      <c r="F32" s="22">
        <v>45928.0</v>
      </c>
      <c r="G32" s="7" t="s">
        <v>184</v>
      </c>
      <c r="H32" s="21" t="s">
        <v>185</v>
      </c>
      <c r="I32" s="21" t="s">
        <v>186</v>
      </c>
      <c r="J32" s="23" t="s">
        <v>93</v>
      </c>
    </row>
    <row r="33">
      <c r="A33" s="21" t="s">
        <v>51</v>
      </c>
      <c r="B33" s="21" t="s">
        <v>52</v>
      </c>
      <c r="C33" s="21" t="s">
        <v>59</v>
      </c>
      <c r="D33" s="21" t="s">
        <v>60</v>
      </c>
      <c r="E33" s="21">
        <v>20260.0</v>
      </c>
      <c r="F33" s="22">
        <v>45930.0</v>
      </c>
      <c r="G33" s="7" t="s">
        <v>187</v>
      </c>
      <c r="H33" s="21" t="s">
        <v>180</v>
      </c>
      <c r="I33" s="21" t="s">
        <v>171</v>
      </c>
      <c r="J33" s="23" t="s">
        <v>93</v>
      </c>
    </row>
    <row r="34">
      <c r="A34" s="21" t="s">
        <v>51</v>
      </c>
      <c r="B34" s="21" t="s">
        <v>52</v>
      </c>
      <c r="C34" s="21" t="s">
        <v>59</v>
      </c>
      <c r="D34" s="21" t="s">
        <v>60</v>
      </c>
      <c r="E34" s="21">
        <v>20260.0</v>
      </c>
      <c r="F34" s="22">
        <v>45930.0</v>
      </c>
      <c r="G34" s="7" t="s">
        <v>188</v>
      </c>
      <c r="H34" s="21" t="s">
        <v>185</v>
      </c>
      <c r="I34" s="21" t="s">
        <v>189</v>
      </c>
      <c r="J34" s="23" t="s">
        <v>93</v>
      </c>
    </row>
    <row r="35">
      <c r="A35" s="21" t="s">
        <v>51</v>
      </c>
      <c r="B35" s="21" t="s">
        <v>52</v>
      </c>
      <c r="C35" s="21" t="s">
        <v>53</v>
      </c>
      <c r="D35" s="21" t="s">
        <v>64</v>
      </c>
      <c r="E35" s="21" t="s">
        <v>160</v>
      </c>
      <c r="F35" s="22">
        <v>45933.0</v>
      </c>
      <c r="G35" s="7" t="s">
        <v>176</v>
      </c>
      <c r="H35" s="21" t="s">
        <v>177</v>
      </c>
      <c r="I35" s="21" t="s">
        <v>190</v>
      </c>
      <c r="J35" s="23" t="s">
        <v>93</v>
      </c>
    </row>
    <row r="36">
      <c r="A36" s="21" t="s">
        <v>51</v>
      </c>
      <c r="B36" s="21" t="s">
        <v>52</v>
      </c>
      <c r="C36" s="21" t="s">
        <v>53</v>
      </c>
      <c r="D36" s="21" t="s">
        <v>54</v>
      </c>
      <c r="E36" s="21">
        <v>20851.0</v>
      </c>
      <c r="F36" s="22">
        <v>45937.0</v>
      </c>
      <c r="G36" s="7" t="s">
        <v>191</v>
      </c>
      <c r="H36" s="21" t="s">
        <v>192</v>
      </c>
      <c r="I36" s="21" t="s">
        <v>193</v>
      </c>
      <c r="J36" s="23" t="s">
        <v>93</v>
      </c>
    </row>
    <row r="37">
      <c r="A37" s="21" t="s">
        <v>51</v>
      </c>
      <c r="B37" s="21" t="s">
        <v>79</v>
      </c>
      <c r="C37" s="21" t="s">
        <v>80</v>
      </c>
      <c r="D37" s="21" t="s">
        <v>81</v>
      </c>
      <c r="E37" s="21" t="s">
        <v>78</v>
      </c>
      <c r="F37" s="22">
        <v>45938.0</v>
      </c>
      <c r="G37" s="7" t="s">
        <v>194</v>
      </c>
      <c r="H37" s="21" t="s">
        <v>192</v>
      </c>
      <c r="I37" s="21" t="s">
        <v>195</v>
      </c>
      <c r="J37" s="23" t="s">
        <v>93</v>
      </c>
    </row>
    <row r="38">
      <c r="A38" s="21" t="s">
        <v>51</v>
      </c>
      <c r="B38" s="21" t="s">
        <v>79</v>
      </c>
      <c r="C38" s="21" t="s">
        <v>80</v>
      </c>
      <c r="D38" s="21" t="s">
        <v>81</v>
      </c>
      <c r="E38" s="21" t="s">
        <v>78</v>
      </c>
      <c r="F38" s="22">
        <v>45939.0</v>
      </c>
      <c r="G38" s="7" t="s">
        <v>194</v>
      </c>
      <c r="H38" s="21" t="s">
        <v>192</v>
      </c>
      <c r="I38" s="21" t="s">
        <v>196</v>
      </c>
      <c r="J38" s="23" t="s">
        <v>93</v>
      </c>
    </row>
    <row r="39">
      <c r="A39" s="21" t="s">
        <v>51</v>
      </c>
      <c r="B39" s="21" t="s">
        <v>52</v>
      </c>
      <c r="C39" s="21" t="s">
        <v>59</v>
      </c>
      <c r="D39" s="21" t="s">
        <v>60</v>
      </c>
      <c r="E39" s="21">
        <v>20260.0</v>
      </c>
      <c r="F39" s="22">
        <v>45940.0</v>
      </c>
      <c r="G39" s="7" t="s">
        <v>194</v>
      </c>
      <c r="H39" s="21" t="s">
        <v>192</v>
      </c>
      <c r="I39" s="21" t="s">
        <v>154</v>
      </c>
      <c r="J39" s="23" t="s">
        <v>93</v>
      </c>
    </row>
    <row r="40">
      <c r="A40" s="21" t="s">
        <v>51</v>
      </c>
      <c r="B40" s="21" t="s">
        <v>52</v>
      </c>
      <c r="C40" s="21" t="s">
        <v>53</v>
      </c>
      <c r="D40" s="21" t="s">
        <v>64</v>
      </c>
      <c r="E40" s="21" t="s">
        <v>160</v>
      </c>
      <c r="F40" s="22">
        <v>45950.0</v>
      </c>
      <c r="G40" s="7" t="s">
        <v>197</v>
      </c>
      <c r="H40" s="21" t="s">
        <v>177</v>
      </c>
      <c r="I40" s="21" t="s">
        <v>198</v>
      </c>
      <c r="J40" s="23" t="s">
        <v>93</v>
      </c>
    </row>
    <row r="41">
      <c r="A41" s="21" t="s">
        <v>51</v>
      </c>
      <c r="B41" s="21" t="s">
        <v>52</v>
      </c>
      <c r="C41" s="21" t="s">
        <v>53</v>
      </c>
      <c r="D41" s="21" t="s">
        <v>64</v>
      </c>
      <c r="E41" s="21" t="s">
        <v>160</v>
      </c>
      <c r="F41" s="22">
        <v>45954.0</v>
      </c>
      <c r="G41" s="7" t="s">
        <v>194</v>
      </c>
      <c r="H41" s="21" t="s">
        <v>199</v>
      </c>
      <c r="I41" s="21" t="s">
        <v>200</v>
      </c>
      <c r="J41" s="23" t="s">
        <v>93</v>
      </c>
    </row>
    <row r="42">
      <c r="A42" s="21" t="s">
        <v>51</v>
      </c>
      <c r="B42" s="21" t="s">
        <v>52</v>
      </c>
      <c r="C42" s="21" t="s">
        <v>53</v>
      </c>
      <c r="D42" s="21" t="s">
        <v>64</v>
      </c>
      <c r="E42" s="21" t="s">
        <v>160</v>
      </c>
      <c r="F42" s="22">
        <v>45957.0</v>
      </c>
      <c r="G42" s="7" t="s">
        <v>197</v>
      </c>
      <c r="H42" s="21" t="s">
        <v>177</v>
      </c>
      <c r="I42" s="21" t="s">
        <v>201</v>
      </c>
      <c r="J42" s="23" t="s">
        <v>93</v>
      </c>
    </row>
    <row r="43">
      <c r="A43" s="21" t="s">
        <v>51</v>
      </c>
      <c r="B43" s="21" t="s">
        <v>52</v>
      </c>
      <c r="C43" s="21" t="s">
        <v>53</v>
      </c>
      <c r="D43" s="21" t="s">
        <v>64</v>
      </c>
      <c r="E43" s="21" t="s">
        <v>160</v>
      </c>
      <c r="F43" s="22">
        <v>45958.0</v>
      </c>
      <c r="G43" s="7" t="s">
        <v>202</v>
      </c>
      <c r="H43" s="21" t="s">
        <v>192</v>
      </c>
      <c r="I43" s="21" t="s">
        <v>203</v>
      </c>
      <c r="J43" s="23" t="s">
        <v>93</v>
      </c>
    </row>
    <row r="44">
      <c r="A44" s="21" t="s">
        <v>51</v>
      </c>
      <c r="B44" s="21" t="s">
        <v>52</v>
      </c>
      <c r="C44" s="21" t="s">
        <v>53</v>
      </c>
      <c r="D44" s="21" t="s">
        <v>64</v>
      </c>
      <c r="E44" s="21" t="s">
        <v>160</v>
      </c>
      <c r="F44" s="22">
        <v>45959.0</v>
      </c>
      <c r="G44" s="7" t="s">
        <v>204</v>
      </c>
      <c r="H44" s="21" t="s">
        <v>192</v>
      </c>
      <c r="I44" s="21" t="s">
        <v>205</v>
      </c>
      <c r="J44" s="23" t="s">
        <v>93</v>
      </c>
    </row>
    <row r="45">
      <c r="A45" s="21" t="s">
        <v>51</v>
      </c>
      <c r="B45" s="21" t="s">
        <v>79</v>
      </c>
      <c r="C45" s="21" t="s">
        <v>80</v>
      </c>
      <c r="D45" s="21" t="s">
        <v>81</v>
      </c>
      <c r="E45" s="21" t="s">
        <v>78</v>
      </c>
      <c r="F45" s="22">
        <v>45959.0</v>
      </c>
      <c r="G45" s="7" t="s">
        <v>206</v>
      </c>
      <c r="H45" s="21" t="s">
        <v>207</v>
      </c>
      <c r="I45" s="21" t="s">
        <v>208</v>
      </c>
      <c r="J45" s="23" t="s">
        <v>93</v>
      </c>
    </row>
    <row r="46">
      <c r="A46" s="21" t="s">
        <v>51</v>
      </c>
      <c r="B46" s="21" t="s">
        <v>52</v>
      </c>
      <c r="C46" s="21" t="s">
        <v>59</v>
      </c>
      <c r="D46" s="21" t="s">
        <v>60</v>
      </c>
      <c r="E46" s="21">
        <v>20260.0</v>
      </c>
      <c r="F46" s="22">
        <v>45961.0</v>
      </c>
      <c r="G46" s="7" t="s">
        <v>209</v>
      </c>
      <c r="H46" s="21" t="s">
        <v>210</v>
      </c>
      <c r="I46" s="21" t="s">
        <v>154</v>
      </c>
      <c r="J46" s="23" t="s">
        <v>93</v>
      </c>
    </row>
    <row r="47">
      <c r="A47" s="21" t="s">
        <v>51</v>
      </c>
      <c r="B47" s="21" t="s">
        <v>52</v>
      </c>
      <c r="C47" s="21" t="s">
        <v>53</v>
      </c>
      <c r="D47" s="21" t="s">
        <v>64</v>
      </c>
      <c r="E47" s="21" t="s">
        <v>160</v>
      </c>
      <c r="F47" s="22">
        <v>45964.0</v>
      </c>
      <c r="G47" s="7" t="s">
        <v>191</v>
      </c>
      <c r="H47" s="21" t="s">
        <v>192</v>
      </c>
      <c r="I47" s="21" t="s">
        <v>211</v>
      </c>
      <c r="J47" s="23" t="s">
        <v>93</v>
      </c>
    </row>
    <row r="48">
      <c r="A48" s="21" t="s">
        <v>51</v>
      </c>
      <c r="B48" s="21" t="s">
        <v>52</v>
      </c>
      <c r="C48" s="21" t="s">
        <v>53</v>
      </c>
      <c r="D48" s="21" t="s">
        <v>54</v>
      </c>
      <c r="E48" s="21">
        <v>20851.0</v>
      </c>
      <c r="F48" s="22">
        <v>45965.0</v>
      </c>
      <c r="G48" s="7" t="s">
        <v>212</v>
      </c>
      <c r="H48" s="21" t="s">
        <v>210</v>
      </c>
      <c r="I48" s="21" t="s">
        <v>193</v>
      </c>
      <c r="J48" s="23" t="s">
        <v>93</v>
      </c>
    </row>
    <row r="49">
      <c r="A49" s="21" t="s">
        <v>51</v>
      </c>
      <c r="B49" s="21" t="s">
        <v>79</v>
      </c>
      <c r="C49" s="21" t="s">
        <v>80</v>
      </c>
      <c r="D49" s="21" t="s">
        <v>81</v>
      </c>
      <c r="E49" s="21" t="s">
        <v>78</v>
      </c>
      <c r="F49" s="22">
        <v>45966.0</v>
      </c>
      <c r="G49" s="7" t="s">
        <v>212</v>
      </c>
      <c r="H49" s="21" t="s">
        <v>210</v>
      </c>
      <c r="I49" s="21" t="s">
        <v>213</v>
      </c>
      <c r="J49" s="23" t="s">
        <v>93</v>
      </c>
    </row>
    <row r="50">
      <c r="A50" s="21" t="s">
        <v>51</v>
      </c>
      <c r="B50" s="21" t="s">
        <v>79</v>
      </c>
      <c r="C50" s="21" t="s">
        <v>80</v>
      </c>
      <c r="D50" s="21" t="s">
        <v>81</v>
      </c>
      <c r="E50" s="21" t="s">
        <v>78</v>
      </c>
      <c r="F50" s="22">
        <v>45967.0</v>
      </c>
      <c r="G50" s="7" t="s">
        <v>212</v>
      </c>
      <c r="H50" s="21" t="s">
        <v>210</v>
      </c>
      <c r="I50" s="21" t="s">
        <v>214</v>
      </c>
      <c r="J50" s="23" t="s">
        <v>93</v>
      </c>
    </row>
    <row r="51">
      <c r="A51" s="21" t="s">
        <v>51</v>
      </c>
      <c r="B51" s="21" t="s">
        <v>52</v>
      </c>
      <c r="C51" s="21" t="s">
        <v>53</v>
      </c>
      <c r="D51" s="21" t="s">
        <v>64</v>
      </c>
      <c r="E51" s="21" t="s">
        <v>160</v>
      </c>
      <c r="F51" s="22">
        <v>45968.0</v>
      </c>
      <c r="G51" s="7" t="s">
        <v>215</v>
      </c>
      <c r="H51" s="21" t="s">
        <v>210</v>
      </c>
      <c r="I51" s="21" t="s">
        <v>216</v>
      </c>
      <c r="J51" s="23" t="s">
        <v>93</v>
      </c>
    </row>
    <row r="52">
      <c r="A52" s="21" t="s">
        <v>51</v>
      </c>
      <c r="B52" s="21" t="s">
        <v>52</v>
      </c>
      <c r="C52" s="21" t="s">
        <v>53</v>
      </c>
      <c r="D52" s="21" t="s">
        <v>64</v>
      </c>
      <c r="E52" s="21" t="s">
        <v>160</v>
      </c>
      <c r="F52" s="22">
        <v>45971.0</v>
      </c>
      <c r="G52" s="7" t="s">
        <v>217</v>
      </c>
      <c r="H52" s="21" t="s">
        <v>140</v>
      </c>
      <c r="I52" s="21" t="s">
        <v>205</v>
      </c>
      <c r="J52" s="23" t="s">
        <v>93</v>
      </c>
    </row>
    <row r="53">
      <c r="A53" s="21" t="s">
        <v>51</v>
      </c>
      <c r="B53" s="21" t="s">
        <v>52</v>
      </c>
      <c r="C53" s="21" t="s">
        <v>53</v>
      </c>
      <c r="D53" s="21" t="s">
        <v>64</v>
      </c>
      <c r="E53" s="21" t="s">
        <v>160</v>
      </c>
      <c r="F53" s="22">
        <v>45972.0</v>
      </c>
      <c r="G53" s="7" t="s">
        <v>218</v>
      </c>
      <c r="H53" s="21" t="s">
        <v>219</v>
      </c>
      <c r="I53" s="21" t="s">
        <v>203</v>
      </c>
      <c r="J53" s="23" t="s">
        <v>93</v>
      </c>
    </row>
    <row r="54">
      <c r="A54" s="21" t="s">
        <v>51</v>
      </c>
      <c r="B54" s="21" t="s">
        <v>52</v>
      </c>
      <c r="C54" s="21" t="s">
        <v>53</v>
      </c>
      <c r="D54" s="21" t="s">
        <v>64</v>
      </c>
      <c r="E54" s="21" t="s">
        <v>160</v>
      </c>
      <c r="F54" s="22">
        <v>45978.0</v>
      </c>
      <c r="G54" s="7" t="s">
        <v>212</v>
      </c>
      <c r="H54" s="21" t="s">
        <v>210</v>
      </c>
      <c r="I54" s="21" t="s">
        <v>220</v>
      </c>
      <c r="J54" s="23" t="s">
        <v>93</v>
      </c>
    </row>
    <row r="55">
      <c r="A55" s="21" t="s">
        <v>51</v>
      </c>
      <c r="B55" s="21" t="s">
        <v>52</v>
      </c>
      <c r="C55" s="21" t="s">
        <v>53</v>
      </c>
      <c r="D55" s="21" t="s">
        <v>64</v>
      </c>
      <c r="E55" s="21" t="s">
        <v>160</v>
      </c>
      <c r="F55" s="22">
        <v>45982.0</v>
      </c>
      <c r="G55" s="7" t="s">
        <v>212</v>
      </c>
      <c r="H55" s="21" t="s">
        <v>210</v>
      </c>
      <c r="I55" s="21" t="s">
        <v>221</v>
      </c>
      <c r="J55" s="23" t="s">
        <v>93</v>
      </c>
    </row>
    <row r="56">
      <c r="A56" s="21" t="s">
        <v>51</v>
      </c>
      <c r="B56" s="21" t="s">
        <v>52</v>
      </c>
      <c r="C56" s="21" t="s">
        <v>53</v>
      </c>
      <c r="D56" s="21" t="s">
        <v>64</v>
      </c>
      <c r="E56" s="21" t="s">
        <v>160</v>
      </c>
      <c r="F56" s="22">
        <v>45988.0</v>
      </c>
      <c r="G56" s="7" t="s">
        <v>164</v>
      </c>
      <c r="H56" s="21" t="s">
        <v>222</v>
      </c>
      <c r="I56" s="21" t="s">
        <v>223</v>
      </c>
      <c r="J56" s="23" t="s">
        <v>93</v>
      </c>
    </row>
    <row r="57">
      <c r="A57" s="21" t="s">
        <v>51</v>
      </c>
      <c r="B57" s="21" t="s">
        <v>79</v>
      </c>
      <c r="C57" s="21" t="s">
        <v>80</v>
      </c>
      <c r="D57" s="21" t="s">
        <v>81</v>
      </c>
      <c r="E57" s="21" t="s">
        <v>78</v>
      </c>
      <c r="F57" s="22">
        <v>45993.0</v>
      </c>
      <c r="G57" s="7" t="s">
        <v>164</v>
      </c>
      <c r="H57" s="21" t="s">
        <v>222</v>
      </c>
      <c r="I57" s="21" t="s">
        <v>224</v>
      </c>
      <c r="J57" s="23" t="s">
        <v>93</v>
      </c>
    </row>
    <row r="58">
      <c r="A58" s="21" t="s">
        <v>9</v>
      </c>
      <c r="B58" s="21" t="s">
        <v>9</v>
      </c>
      <c r="C58" s="21" t="s">
        <v>9</v>
      </c>
      <c r="D58" s="21" t="s">
        <v>15</v>
      </c>
      <c r="E58" s="21" t="s">
        <v>14</v>
      </c>
      <c r="F58" s="22" t="s">
        <v>225</v>
      </c>
      <c r="G58" s="7" t="s">
        <v>226</v>
      </c>
      <c r="H58" s="21" t="s">
        <v>227</v>
      </c>
      <c r="I58" s="21" t="s">
        <v>228</v>
      </c>
      <c r="J58" s="6" t="s">
        <v>95</v>
      </c>
    </row>
    <row r="59">
      <c r="A59" s="21" t="s">
        <v>9</v>
      </c>
      <c r="B59" s="21" t="s">
        <v>9</v>
      </c>
      <c r="C59" s="21" t="s">
        <v>9</v>
      </c>
      <c r="D59" s="21" t="s">
        <v>15</v>
      </c>
      <c r="E59" s="21" t="s">
        <v>14</v>
      </c>
      <c r="F59" s="22" t="s">
        <v>229</v>
      </c>
      <c r="G59" s="7" t="s">
        <v>230</v>
      </c>
      <c r="H59" s="21" t="s">
        <v>231</v>
      </c>
      <c r="I59" s="21" t="s">
        <v>232</v>
      </c>
      <c r="J59" s="6" t="s">
        <v>95</v>
      </c>
    </row>
    <row r="60">
      <c r="A60" s="21" t="s">
        <v>233</v>
      </c>
      <c r="B60" s="21" t="s">
        <v>233</v>
      </c>
      <c r="C60" s="21" t="s">
        <v>234</v>
      </c>
      <c r="D60" s="21" t="s">
        <v>235</v>
      </c>
      <c r="E60" s="21" t="s">
        <v>236</v>
      </c>
      <c r="F60" s="22" t="s">
        <v>237</v>
      </c>
      <c r="G60" s="7" t="s">
        <v>238</v>
      </c>
      <c r="H60" s="21" t="s">
        <v>239</v>
      </c>
      <c r="I60" s="21" t="s">
        <v>240</v>
      </c>
      <c r="J60" s="6" t="s">
        <v>95</v>
      </c>
    </row>
    <row r="61">
      <c r="A61" s="21" t="s">
        <v>9</v>
      </c>
      <c r="B61" s="21" t="s">
        <v>9</v>
      </c>
      <c r="C61" s="21" t="s">
        <v>9</v>
      </c>
      <c r="D61" s="21" t="s">
        <v>15</v>
      </c>
      <c r="E61" s="21" t="s">
        <v>14</v>
      </c>
      <c r="F61" s="22" t="s">
        <v>241</v>
      </c>
      <c r="G61" s="7" t="s">
        <v>242</v>
      </c>
      <c r="H61" s="21" t="s">
        <v>243</v>
      </c>
      <c r="I61" s="21" t="s">
        <v>244</v>
      </c>
      <c r="J61" s="6" t="s">
        <v>95</v>
      </c>
    </row>
    <row r="62">
      <c r="A62" s="21" t="s">
        <v>9</v>
      </c>
      <c r="B62" s="21" t="s">
        <v>9</v>
      </c>
      <c r="C62" s="21" t="s">
        <v>9</v>
      </c>
      <c r="D62" s="21" t="s">
        <v>15</v>
      </c>
      <c r="E62" s="21" t="s">
        <v>14</v>
      </c>
      <c r="F62" s="22" t="s">
        <v>245</v>
      </c>
      <c r="G62" s="7" t="s">
        <v>246</v>
      </c>
      <c r="H62" s="21" t="s">
        <v>247</v>
      </c>
      <c r="I62" s="21" t="s">
        <v>248</v>
      </c>
      <c r="J62" s="6" t="s">
        <v>95</v>
      </c>
    </row>
    <row r="63">
      <c r="A63" s="21" t="s">
        <v>9</v>
      </c>
      <c r="B63" s="21" t="s">
        <v>9</v>
      </c>
      <c r="C63" s="21" t="s">
        <v>9</v>
      </c>
      <c r="D63" s="21" t="s">
        <v>15</v>
      </c>
      <c r="E63" s="21" t="s">
        <v>14</v>
      </c>
      <c r="F63" s="22" t="s">
        <v>249</v>
      </c>
      <c r="G63" s="7" t="s">
        <v>250</v>
      </c>
      <c r="H63" s="21" t="s">
        <v>251</v>
      </c>
      <c r="I63" s="21" t="s">
        <v>244</v>
      </c>
      <c r="J63" s="6" t="s">
        <v>95</v>
      </c>
    </row>
    <row r="64">
      <c r="A64" s="21" t="s">
        <v>9</v>
      </c>
      <c r="B64" s="21" t="s">
        <v>9</v>
      </c>
      <c r="C64" s="21" t="s">
        <v>9</v>
      </c>
      <c r="D64" s="21" t="s">
        <v>15</v>
      </c>
      <c r="E64" s="21" t="s">
        <v>14</v>
      </c>
      <c r="F64" s="22">
        <v>45979.0</v>
      </c>
      <c r="G64" s="7" t="s">
        <v>252</v>
      </c>
      <c r="H64" s="21" t="s">
        <v>253</v>
      </c>
      <c r="I64" s="21" t="s">
        <v>244</v>
      </c>
      <c r="J64" s="6" t="s">
        <v>95</v>
      </c>
    </row>
    <row r="65">
      <c r="A65" s="21" t="s">
        <v>9</v>
      </c>
      <c r="B65" s="21" t="s">
        <v>9</v>
      </c>
      <c r="C65" s="21" t="s">
        <v>9</v>
      </c>
      <c r="D65" s="21" t="s">
        <v>15</v>
      </c>
      <c r="E65" s="21" t="s">
        <v>14</v>
      </c>
      <c r="F65" s="22" t="s">
        <v>254</v>
      </c>
      <c r="G65" s="7" t="s">
        <v>255</v>
      </c>
      <c r="H65" s="21" t="s">
        <v>227</v>
      </c>
      <c r="I65" s="21" t="s">
        <v>256</v>
      </c>
      <c r="J65" s="6" t="s">
        <v>95</v>
      </c>
    </row>
    <row r="66">
      <c r="A66" s="21" t="s">
        <v>9</v>
      </c>
      <c r="B66" s="21" t="s">
        <v>9</v>
      </c>
      <c r="C66" s="21" t="s">
        <v>9</v>
      </c>
      <c r="D66" s="21" t="s">
        <v>15</v>
      </c>
      <c r="E66" s="21" t="s">
        <v>14</v>
      </c>
      <c r="F66" s="22">
        <v>45896.0</v>
      </c>
      <c r="G66" s="7" t="s">
        <v>257</v>
      </c>
      <c r="H66" s="21" t="s">
        <v>258</v>
      </c>
      <c r="I66" s="21" t="s">
        <v>256</v>
      </c>
      <c r="J66" s="6" t="s">
        <v>95</v>
      </c>
    </row>
    <row r="67">
      <c r="A67" s="21" t="s">
        <v>9</v>
      </c>
      <c r="B67" s="21" t="s">
        <v>9</v>
      </c>
      <c r="C67" s="21" t="s">
        <v>9</v>
      </c>
      <c r="D67" s="21" t="s">
        <v>15</v>
      </c>
      <c r="E67" s="21" t="s">
        <v>14</v>
      </c>
      <c r="F67" s="22">
        <v>45903.0</v>
      </c>
      <c r="G67" s="7" t="s">
        <v>259</v>
      </c>
      <c r="H67" s="21" t="s">
        <v>260</v>
      </c>
      <c r="I67" s="21" t="s">
        <v>261</v>
      </c>
      <c r="J67" s="6" t="s">
        <v>95</v>
      </c>
    </row>
    <row r="68">
      <c r="A68" s="21" t="s">
        <v>9</v>
      </c>
      <c r="B68" s="21" t="s">
        <v>9</v>
      </c>
      <c r="C68" s="21" t="s">
        <v>9</v>
      </c>
      <c r="D68" s="21" t="s">
        <v>15</v>
      </c>
      <c r="E68" s="21" t="s">
        <v>14</v>
      </c>
      <c r="F68" s="22">
        <v>45957.0</v>
      </c>
      <c r="G68" s="7" t="s">
        <v>262</v>
      </c>
      <c r="H68" s="21" t="s">
        <v>263</v>
      </c>
      <c r="I68" s="21" t="s">
        <v>261</v>
      </c>
      <c r="J68" s="6" t="s">
        <v>95</v>
      </c>
    </row>
    <row r="69">
      <c r="A69" s="21" t="s">
        <v>9</v>
      </c>
      <c r="B69" s="21" t="s">
        <v>9</v>
      </c>
      <c r="C69" s="21" t="s">
        <v>9</v>
      </c>
      <c r="D69" s="21" t="s">
        <v>15</v>
      </c>
      <c r="E69" s="21" t="s">
        <v>14</v>
      </c>
      <c r="F69" s="22">
        <v>45964.0</v>
      </c>
      <c r="G69" s="7" t="s">
        <v>264</v>
      </c>
      <c r="H69" s="21" t="s">
        <v>265</v>
      </c>
      <c r="I69" s="21" t="s">
        <v>171</v>
      </c>
      <c r="J69" s="6" t="s">
        <v>95</v>
      </c>
    </row>
    <row r="70">
      <c r="A70" s="21" t="s">
        <v>9</v>
      </c>
      <c r="B70" s="21" t="s">
        <v>9</v>
      </c>
      <c r="C70" s="21" t="s">
        <v>9</v>
      </c>
      <c r="D70" s="21" t="s">
        <v>15</v>
      </c>
      <c r="E70" s="21" t="s">
        <v>14</v>
      </c>
      <c r="F70" s="22">
        <v>45964.0</v>
      </c>
      <c r="G70" s="7" t="s">
        <v>266</v>
      </c>
      <c r="H70" s="21" t="s">
        <v>247</v>
      </c>
      <c r="I70" s="21" t="s">
        <v>261</v>
      </c>
      <c r="J70" s="6" t="s">
        <v>95</v>
      </c>
    </row>
    <row r="71">
      <c r="A71" s="21" t="s">
        <v>9</v>
      </c>
      <c r="B71" s="21" t="s">
        <v>9</v>
      </c>
      <c r="C71" s="21" t="s">
        <v>9</v>
      </c>
      <c r="D71" s="21" t="s">
        <v>15</v>
      </c>
      <c r="E71" s="21" t="s">
        <v>14</v>
      </c>
      <c r="F71" s="22">
        <v>45978.0</v>
      </c>
      <c r="G71" s="7" t="s">
        <v>267</v>
      </c>
      <c r="H71" s="21" t="s">
        <v>268</v>
      </c>
      <c r="I71" s="21" t="s">
        <v>269</v>
      </c>
      <c r="J71" s="6" t="s">
        <v>95</v>
      </c>
    </row>
    <row r="72">
      <c r="A72" s="21" t="s">
        <v>9</v>
      </c>
      <c r="B72" s="21" t="s">
        <v>9</v>
      </c>
      <c r="C72" s="21" t="s">
        <v>9</v>
      </c>
      <c r="D72" s="21" t="s">
        <v>15</v>
      </c>
      <c r="E72" s="21" t="s">
        <v>14</v>
      </c>
      <c r="F72" s="22">
        <v>45979.0</v>
      </c>
      <c r="G72" s="7" t="s">
        <v>270</v>
      </c>
      <c r="H72" s="21" t="s">
        <v>253</v>
      </c>
      <c r="I72" s="21" t="s">
        <v>261</v>
      </c>
      <c r="J72" s="6" t="s">
        <v>95</v>
      </c>
    </row>
    <row r="73">
      <c r="A73" s="21" t="s">
        <v>9</v>
      </c>
      <c r="B73" s="21" t="s">
        <v>9</v>
      </c>
      <c r="C73" s="21" t="s">
        <v>9</v>
      </c>
      <c r="D73" s="21" t="s">
        <v>15</v>
      </c>
      <c r="E73" s="21" t="s">
        <v>14</v>
      </c>
      <c r="F73" s="22">
        <v>45854.0</v>
      </c>
      <c r="G73" s="7" t="s">
        <v>271</v>
      </c>
      <c r="H73" s="21" t="s">
        <v>227</v>
      </c>
      <c r="I73" s="21" t="s">
        <v>272</v>
      </c>
      <c r="J73" s="6" t="s">
        <v>95</v>
      </c>
    </row>
    <row r="74">
      <c r="A74" s="21" t="s">
        <v>9</v>
      </c>
      <c r="B74" s="21" t="s">
        <v>9</v>
      </c>
      <c r="C74" s="21" t="s">
        <v>9</v>
      </c>
      <c r="D74" s="21" t="s">
        <v>15</v>
      </c>
      <c r="E74" s="21" t="s">
        <v>14</v>
      </c>
      <c r="F74" s="22">
        <v>45854.0</v>
      </c>
      <c r="G74" s="7" t="s">
        <v>273</v>
      </c>
      <c r="H74" s="21" t="s">
        <v>274</v>
      </c>
      <c r="I74" s="21" t="s">
        <v>272</v>
      </c>
      <c r="J74" s="6" t="s">
        <v>95</v>
      </c>
    </row>
    <row r="75">
      <c r="A75" s="21" t="s">
        <v>9</v>
      </c>
      <c r="B75" s="21" t="s">
        <v>9</v>
      </c>
      <c r="C75" s="21" t="s">
        <v>9</v>
      </c>
      <c r="D75" s="21" t="s">
        <v>15</v>
      </c>
      <c r="E75" s="21" t="s">
        <v>14</v>
      </c>
      <c r="F75" s="22">
        <v>45901.0</v>
      </c>
      <c r="G75" s="7" t="s">
        <v>275</v>
      </c>
      <c r="H75" s="21" t="s">
        <v>276</v>
      </c>
      <c r="I75" s="21" t="s">
        <v>277</v>
      </c>
      <c r="J75" s="6" t="s">
        <v>95</v>
      </c>
    </row>
    <row r="76">
      <c r="A76" s="21" t="s">
        <v>9</v>
      </c>
      <c r="B76" s="21" t="s">
        <v>9</v>
      </c>
      <c r="C76" s="21" t="s">
        <v>9</v>
      </c>
      <c r="D76" s="21" t="s">
        <v>15</v>
      </c>
      <c r="E76" s="21" t="s">
        <v>14</v>
      </c>
      <c r="F76" s="22" t="s">
        <v>278</v>
      </c>
      <c r="G76" s="7" t="s">
        <v>279</v>
      </c>
      <c r="H76" s="21" t="s">
        <v>280</v>
      </c>
      <c r="I76" s="21" t="s">
        <v>281</v>
      </c>
      <c r="J76" s="6" t="s">
        <v>95</v>
      </c>
    </row>
    <row r="77">
      <c r="A77" s="21" t="s">
        <v>9</v>
      </c>
      <c r="B77" s="21" t="s">
        <v>9</v>
      </c>
      <c r="C77" s="21" t="s">
        <v>9</v>
      </c>
      <c r="D77" s="21" t="s">
        <v>15</v>
      </c>
      <c r="E77" s="21" t="s">
        <v>14</v>
      </c>
      <c r="F77" s="22">
        <v>45952.0</v>
      </c>
      <c r="G77" s="7" t="s">
        <v>282</v>
      </c>
      <c r="H77" s="21" t="s">
        <v>247</v>
      </c>
      <c r="I77" s="21" t="s">
        <v>283</v>
      </c>
      <c r="J77" s="6" t="s">
        <v>95</v>
      </c>
    </row>
    <row r="78">
      <c r="A78" s="21" t="s">
        <v>9</v>
      </c>
      <c r="B78" s="21" t="s">
        <v>9</v>
      </c>
      <c r="C78" s="21" t="s">
        <v>9</v>
      </c>
      <c r="D78" s="21" t="s">
        <v>15</v>
      </c>
      <c r="E78" s="21" t="s">
        <v>14</v>
      </c>
      <c r="F78" s="22">
        <v>45986.0</v>
      </c>
      <c r="G78" s="7" t="s">
        <v>284</v>
      </c>
      <c r="H78" s="21" t="s">
        <v>285</v>
      </c>
      <c r="I78" s="21" t="s">
        <v>277</v>
      </c>
      <c r="J78" s="6" t="s">
        <v>95</v>
      </c>
    </row>
    <row r="79">
      <c r="A79" s="21" t="s">
        <v>9</v>
      </c>
      <c r="B79" s="21" t="s">
        <v>9</v>
      </c>
      <c r="C79" s="21" t="s">
        <v>9</v>
      </c>
      <c r="D79" s="21" t="s">
        <v>15</v>
      </c>
      <c r="E79" s="21" t="s">
        <v>14</v>
      </c>
      <c r="F79" s="22">
        <v>45986.0</v>
      </c>
      <c r="G79" s="7" t="s">
        <v>286</v>
      </c>
      <c r="H79" s="21" t="s">
        <v>253</v>
      </c>
      <c r="I79" s="21" t="s">
        <v>277</v>
      </c>
      <c r="J79" s="6" t="s">
        <v>95</v>
      </c>
    </row>
    <row r="80">
      <c r="A80" s="21" t="s">
        <v>9</v>
      </c>
      <c r="B80" s="21" t="s">
        <v>9</v>
      </c>
      <c r="C80" s="21" t="s">
        <v>9</v>
      </c>
      <c r="D80" s="21" t="s">
        <v>10</v>
      </c>
      <c r="E80" s="21">
        <v>88059.0</v>
      </c>
      <c r="F80" s="22">
        <v>45848.0</v>
      </c>
      <c r="G80" s="7" t="s">
        <v>287</v>
      </c>
      <c r="H80" s="21" t="s">
        <v>227</v>
      </c>
      <c r="I80" s="21" t="s">
        <v>288</v>
      </c>
      <c r="J80" s="6" t="s">
        <v>95</v>
      </c>
    </row>
    <row r="81">
      <c r="A81" s="21" t="s">
        <v>9</v>
      </c>
      <c r="B81" s="21" t="s">
        <v>9</v>
      </c>
      <c r="C81" s="21" t="s">
        <v>9</v>
      </c>
      <c r="D81" s="21" t="s">
        <v>10</v>
      </c>
      <c r="E81" s="21">
        <v>88059.0</v>
      </c>
      <c r="F81" s="22">
        <v>45848.0</v>
      </c>
      <c r="G81" s="7" t="s">
        <v>289</v>
      </c>
      <c r="H81" s="21" t="s">
        <v>231</v>
      </c>
      <c r="I81" s="21" t="s">
        <v>288</v>
      </c>
      <c r="J81" s="6" t="s">
        <v>95</v>
      </c>
    </row>
    <row r="82">
      <c r="A82" s="21" t="s">
        <v>9</v>
      </c>
      <c r="B82" s="21" t="s">
        <v>9</v>
      </c>
      <c r="C82" s="21" t="s">
        <v>9</v>
      </c>
      <c r="D82" s="21" t="s">
        <v>10</v>
      </c>
      <c r="E82" s="21">
        <v>88059.0</v>
      </c>
      <c r="F82" s="22">
        <v>45890.0</v>
      </c>
      <c r="G82" s="7" t="s">
        <v>290</v>
      </c>
      <c r="H82" s="21" t="s">
        <v>291</v>
      </c>
      <c r="I82" s="21" t="s">
        <v>292</v>
      </c>
      <c r="J82" s="6" t="s">
        <v>95</v>
      </c>
    </row>
    <row r="83">
      <c r="A83" s="21" t="s">
        <v>9</v>
      </c>
      <c r="B83" s="21" t="s">
        <v>9</v>
      </c>
      <c r="C83" s="21" t="s">
        <v>9</v>
      </c>
      <c r="D83" s="21" t="s">
        <v>10</v>
      </c>
      <c r="E83" s="21">
        <v>88059.0</v>
      </c>
      <c r="F83" s="22">
        <v>45919.0</v>
      </c>
      <c r="G83" s="7" t="s">
        <v>293</v>
      </c>
      <c r="H83" s="21" t="s">
        <v>294</v>
      </c>
      <c r="I83" s="21" t="s">
        <v>295</v>
      </c>
      <c r="J83" s="6" t="s">
        <v>95</v>
      </c>
    </row>
    <row r="84">
      <c r="A84" s="21" t="s">
        <v>9</v>
      </c>
      <c r="B84" s="21" t="s">
        <v>9</v>
      </c>
      <c r="C84" s="21" t="s">
        <v>9</v>
      </c>
      <c r="D84" s="21" t="s">
        <v>10</v>
      </c>
      <c r="E84" s="21">
        <v>88059.0</v>
      </c>
      <c r="F84" s="22">
        <v>45939.0</v>
      </c>
      <c r="G84" s="7" t="s">
        <v>296</v>
      </c>
      <c r="H84" s="21" t="s">
        <v>297</v>
      </c>
      <c r="I84" s="21" t="s">
        <v>288</v>
      </c>
      <c r="J84" s="6" t="s">
        <v>95</v>
      </c>
    </row>
    <row r="85">
      <c r="A85" s="21" t="s">
        <v>9</v>
      </c>
      <c r="B85" s="21" t="s">
        <v>9</v>
      </c>
      <c r="C85" s="21" t="s">
        <v>9</v>
      </c>
      <c r="D85" s="21" t="s">
        <v>10</v>
      </c>
      <c r="E85" s="21">
        <v>88059.0</v>
      </c>
      <c r="F85" s="22">
        <v>45960.0</v>
      </c>
      <c r="G85" s="7" t="s">
        <v>298</v>
      </c>
      <c r="H85" s="21" t="s">
        <v>247</v>
      </c>
      <c r="I85" s="21" t="s">
        <v>288</v>
      </c>
      <c r="J85" s="6" t="s">
        <v>95</v>
      </c>
    </row>
    <row r="86">
      <c r="A86" s="21" t="s">
        <v>9</v>
      </c>
      <c r="B86" s="21" t="s">
        <v>9</v>
      </c>
      <c r="C86" s="21" t="s">
        <v>9</v>
      </c>
      <c r="D86" s="21" t="s">
        <v>10</v>
      </c>
      <c r="E86" s="21">
        <v>88059.0</v>
      </c>
      <c r="F86" s="22">
        <v>45987.0</v>
      </c>
      <c r="G86" s="7" t="s">
        <v>299</v>
      </c>
      <c r="H86" s="21" t="s">
        <v>251</v>
      </c>
      <c r="I86" s="21" t="s">
        <v>288</v>
      </c>
      <c r="J86" s="6" t="s">
        <v>95</v>
      </c>
    </row>
    <row r="87">
      <c r="A87" s="21" t="s">
        <v>9</v>
      </c>
      <c r="B87" s="21" t="s">
        <v>9</v>
      </c>
      <c r="C87" s="21" t="s">
        <v>9</v>
      </c>
      <c r="D87" s="21" t="s">
        <v>10</v>
      </c>
      <c r="E87" s="21">
        <v>88059.0</v>
      </c>
      <c r="F87" s="22">
        <v>45987.0</v>
      </c>
      <c r="G87" s="7" t="s">
        <v>300</v>
      </c>
      <c r="H87" s="21" t="s">
        <v>253</v>
      </c>
      <c r="I87" s="21" t="s">
        <v>288</v>
      </c>
      <c r="J87" s="6" t="s">
        <v>95</v>
      </c>
    </row>
    <row r="88">
      <c r="A88" s="21" t="s">
        <v>9</v>
      </c>
      <c r="B88" s="21" t="s">
        <v>9</v>
      </c>
      <c r="C88" s="21" t="s">
        <v>9</v>
      </c>
      <c r="D88" s="21" t="s">
        <v>10</v>
      </c>
      <c r="E88" s="21">
        <v>88059.0</v>
      </c>
      <c r="F88" s="22" t="s">
        <v>301</v>
      </c>
      <c r="G88" s="7" t="s">
        <v>255</v>
      </c>
      <c r="H88" s="21" t="s">
        <v>227</v>
      </c>
      <c r="I88" s="21" t="s">
        <v>302</v>
      </c>
      <c r="J88" s="6" t="s">
        <v>95</v>
      </c>
    </row>
    <row r="89">
      <c r="A89" s="21" t="s">
        <v>9</v>
      </c>
      <c r="B89" s="21" t="s">
        <v>9</v>
      </c>
      <c r="C89" s="21" t="s">
        <v>9</v>
      </c>
      <c r="D89" s="21" t="s">
        <v>10</v>
      </c>
      <c r="E89" s="21">
        <v>88059.0</v>
      </c>
      <c r="F89" s="22">
        <v>45895.0</v>
      </c>
      <c r="G89" s="7" t="s">
        <v>257</v>
      </c>
      <c r="H89" s="21" t="s">
        <v>258</v>
      </c>
      <c r="I89" s="21" t="s">
        <v>302</v>
      </c>
      <c r="J89" s="6" t="s">
        <v>95</v>
      </c>
    </row>
    <row r="90">
      <c r="A90" s="21" t="s">
        <v>9</v>
      </c>
      <c r="B90" s="21" t="s">
        <v>9</v>
      </c>
      <c r="C90" s="21" t="s">
        <v>9</v>
      </c>
      <c r="D90" s="21" t="s">
        <v>10</v>
      </c>
      <c r="E90" s="21">
        <v>88059.0</v>
      </c>
      <c r="F90" s="22">
        <v>45918.0</v>
      </c>
      <c r="G90" s="7" t="s">
        <v>259</v>
      </c>
      <c r="H90" s="21" t="s">
        <v>260</v>
      </c>
      <c r="I90" s="21" t="s">
        <v>302</v>
      </c>
      <c r="J90" s="6" t="s">
        <v>95</v>
      </c>
    </row>
    <row r="91">
      <c r="A91" s="21" t="s">
        <v>9</v>
      </c>
      <c r="B91" s="21" t="s">
        <v>9</v>
      </c>
      <c r="C91" s="21" t="s">
        <v>9</v>
      </c>
      <c r="D91" s="21" t="s">
        <v>10</v>
      </c>
      <c r="E91" s="21">
        <v>88059.0</v>
      </c>
      <c r="F91" s="22">
        <v>45926.0</v>
      </c>
      <c r="G91" s="7" t="s">
        <v>262</v>
      </c>
      <c r="H91" s="21" t="s">
        <v>303</v>
      </c>
      <c r="I91" s="21" t="s">
        <v>302</v>
      </c>
      <c r="J91" s="6" t="s">
        <v>95</v>
      </c>
    </row>
    <row r="92">
      <c r="A92" s="21" t="s">
        <v>9</v>
      </c>
      <c r="B92" s="21" t="s">
        <v>9</v>
      </c>
      <c r="C92" s="21" t="s">
        <v>9</v>
      </c>
      <c r="D92" s="21" t="s">
        <v>10</v>
      </c>
      <c r="E92" s="21">
        <v>88059.0</v>
      </c>
      <c r="F92" s="22">
        <v>45936.0</v>
      </c>
      <c r="G92" s="7" t="s">
        <v>264</v>
      </c>
      <c r="H92" s="21" t="s">
        <v>265</v>
      </c>
      <c r="I92" s="21" t="s">
        <v>302</v>
      </c>
      <c r="J92" s="6" t="s">
        <v>95</v>
      </c>
    </row>
    <row r="93">
      <c r="A93" s="21" t="s">
        <v>9</v>
      </c>
      <c r="B93" s="21" t="s">
        <v>9</v>
      </c>
      <c r="C93" s="21" t="s">
        <v>9</v>
      </c>
      <c r="D93" s="21" t="s">
        <v>10</v>
      </c>
      <c r="E93" s="21">
        <v>88059.0</v>
      </c>
      <c r="F93" s="22">
        <v>45965.0</v>
      </c>
      <c r="G93" s="7" t="s">
        <v>266</v>
      </c>
      <c r="H93" s="21" t="s">
        <v>247</v>
      </c>
      <c r="I93" s="21" t="s">
        <v>302</v>
      </c>
      <c r="J93" s="6" t="s">
        <v>95</v>
      </c>
    </row>
    <row r="94">
      <c r="A94" s="21" t="s">
        <v>9</v>
      </c>
      <c r="B94" s="21" t="s">
        <v>9</v>
      </c>
      <c r="C94" s="21" t="s">
        <v>9</v>
      </c>
      <c r="D94" s="21" t="s">
        <v>10</v>
      </c>
      <c r="E94" s="21">
        <v>88059.0</v>
      </c>
      <c r="F94" s="22">
        <v>45980.0</v>
      </c>
      <c r="G94" s="7" t="s">
        <v>267</v>
      </c>
      <c r="H94" s="21" t="s">
        <v>304</v>
      </c>
      <c r="I94" s="21" t="s">
        <v>302</v>
      </c>
      <c r="J94" s="6" t="s">
        <v>95</v>
      </c>
    </row>
    <row r="95">
      <c r="A95" s="21" t="s">
        <v>9</v>
      </c>
      <c r="B95" s="21" t="s">
        <v>9</v>
      </c>
      <c r="C95" s="21" t="s">
        <v>9</v>
      </c>
      <c r="D95" s="21" t="s">
        <v>10</v>
      </c>
      <c r="E95" s="21">
        <v>88059.0</v>
      </c>
      <c r="F95" s="22">
        <v>45980.0</v>
      </c>
      <c r="G95" s="7" t="s">
        <v>270</v>
      </c>
      <c r="H95" s="21" t="s">
        <v>253</v>
      </c>
      <c r="I95" s="21" t="s">
        <v>302</v>
      </c>
      <c r="J95" s="6" t="s">
        <v>95</v>
      </c>
    </row>
    <row r="96">
      <c r="A96" s="21" t="s">
        <v>9</v>
      </c>
      <c r="B96" s="21" t="s">
        <v>9</v>
      </c>
      <c r="C96" s="21" t="s">
        <v>9</v>
      </c>
      <c r="D96" s="21" t="s">
        <v>10</v>
      </c>
      <c r="E96" s="21">
        <v>88059.0</v>
      </c>
      <c r="F96" s="22">
        <v>45855.0</v>
      </c>
      <c r="G96" s="7" t="s">
        <v>271</v>
      </c>
      <c r="H96" s="21" t="s">
        <v>227</v>
      </c>
      <c r="I96" s="21" t="s">
        <v>305</v>
      </c>
      <c r="J96" s="6" t="s">
        <v>95</v>
      </c>
    </row>
    <row r="97">
      <c r="A97" s="21" t="s">
        <v>9</v>
      </c>
      <c r="B97" s="21" t="s">
        <v>9</v>
      </c>
      <c r="C97" s="21" t="s">
        <v>9</v>
      </c>
      <c r="D97" s="21" t="s">
        <v>10</v>
      </c>
      <c r="E97" s="21">
        <v>88059.0</v>
      </c>
      <c r="F97" s="22">
        <v>45890.0</v>
      </c>
      <c r="G97" s="7" t="s">
        <v>273</v>
      </c>
      <c r="H97" s="21" t="s">
        <v>274</v>
      </c>
      <c r="I97" s="21" t="s">
        <v>306</v>
      </c>
      <c r="J97" s="6" t="s">
        <v>95</v>
      </c>
    </row>
    <row r="98">
      <c r="A98" s="21" t="s">
        <v>9</v>
      </c>
      <c r="B98" s="21" t="s">
        <v>9</v>
      </c>
      <c r="C98" s="21" t="s">
        <v>9</v>
      </c>
      <c r="D98" s="21" t="s">
        <v>10</v>
      </c>
      <c r="E98" s="21">
        <v>88059.0</v>
      </c>
      <c r="F98" s="22">
        <v>45965.0</v>
      </c>
      <c r="G98" s="7" t="s">
        <v>275</v>
      </c>
      <c r="H98" s="21" t="s">
        <v>280</v>
      </c>
      <c r="I98" s="21" t="s">
        <v>307</v>
      </c>
      <c r="J98" s="6" t="s">
        <v>95</v>
      </c>
    </row>
    <row r="99">
      <c r="A99" s="21" t="s">
        <v>9</v>
      </c>
      <c r="B99" s="21" t="s">
        <v>9</v>
      </c>
      <c r="C99" s="21" t="s">
        <v>9</v>
      </c>
      <c r="D99" s="21" t="s">
        <v>10</v>
      </c>
      <c r="E99" s="21">
        <v>88059.0</v>
      </c>
      <c r="F99" s="22">
        <v>45965.0</v>
      </c>
      <c r="G99" s="7" t="s">
        <v>282</v>
      </c>
      <c r="H99" s="21" t="s">
        <v>247</v>
      </c>
      <c r="I99" s="21" t="s">
        <v>307</v>
      </c>
      <c r="J99" s="6" t="s">
        <v>95</v>
      </c>
    </row>
    <row r="100">
      <c r="A100" s="21" t="s">
        <v>9</v>
      </c>
      <c r="B100" s="21" t="s">
        <v>9</v>
      </c>
      <c r="C100" s="21" t="s">
        <v>9</v>
      </c>
      <c r="D100" s="21" t="s">
        <v>10</v>
      </c>
      <c r="E100" s="21">
        <v>88059.0</v>
      </c>
      <c r="F100" s="22">
        <v>45986.0</v>
      </c>
      <c r="G100" s="7" t="s">
        <v>279</v>
      </c>
      <c r="H100" s="21" t="s">
        <v>285</v>
      </c>
      <c r="I100" s="21" t="s">
        <v>305</v>
      </c>
      <c r="J100" s="6" t="s">
        <v>95</v>
      </c>
    </row>
    <row r="101">
      <c r="A101" s="21" t="s">
        <v>9</v>
      </c>
      <c r="B101" s="21" t="s">
        <v>9</v>
      </c>
      <c r="C101" s="21" t="s">
        <v>9</v>
      </c>
      <c r="D101" s="21" t="s">
        <v>10</v>
      </c>
      <c r="E101" s="21">
        <v>88059.0</v>
      </c>
      <c r="F101" s="22">
        <v>45986.0</v>
      </c>
      <c r="G101" s="7" t="s">
        <v>286</v>
      </c>
      <c r="H101" s="21" t="s">
        <v>253</v>
      </c>
      <c r="I101" s="21" t="s">
        <v>305</v>
      </c>
      <c r="J101" s="6" t="s">
        <v>95</v>
      </c>
    </row>
    <row r="102">
      <c r="A102" s="21" t="s">
        <v>9</v>
      </c>
      <c r="B102" s="21" t="s">
        <v>9</v>
      </c>
      <c r="C102" s="21" t="s">
        <v>9</v>
      </c>
      <c r="D102" s="21" t="s">
        <v>15</v>
      </c>
      <c r="E102" s="21" t="s">
        <v>14</v>
      </c>
      <c r="F102" s="22">
        <v>45940.0</v>
      </c>
      <c r="G102" s="7" t="s">
        <v>308</v>
      </c>
      <c r="H102" s="21" t="s">
        <v>309</v>
      </c>
      <c r="I102" s="21" t="s">
        <v>310</v>
      </c>
      <c r="J102" s="6" t="s">
        <v>95</v>
      </c>
    </row>
    <row r="103">
      <c r="A103" s="21" t="s">
        <v>9</v>
      </c>
      <c r="B103" s="21" t="s">
        <v>9</v>
      </c>
      <c r="C103" s="21" t="s">
        <v>9</v>
      </c>
      <c r="D103" s="21" t="s">
        <v>10</v>
      </c>
      <c r="E103" s="21">
        <v>88059.0</v>
      </c>
      <c r="F103" s="22">
        <v>45944.0</v>
      </c>
      <c r="G103" s="7" t="s">
        <v>311</v>
      </c>
      <c r="H103" s="21" t="s">
        <v>312</v>
      </c>
      <c r="I103" s="21" t="s">
        <v>313</v>
      </c>
      <c r="J103" s="6" t="s">
        <v>95</v>
      </c>
    </row>
    <row r="104">
      <c r="A104" s="21" t="s">
        <v>21</v>
      </c>
      <c r="B104" s="21" t="s">
        <v>22</v>
      </c>
      <c r="C104" s="21" t="s">
        <v>314</v>
      </c>
      <c r="D104" s="21" t="s">
        <v>37</v>
      </c>
      <c r="E104" s="21">
        <v>86906.0</v>
      </c>
      <c r="F104" s="22">
        <v>45839.0</v>
      </c>
      <c r="G104" s="7" t="s">
        <v>315</v>
      </c>
      <c r="H104" s="21" t="s">
        <v>316</v>
      </c>
      <c r="I104" s="21" t="s">
        <v>317</v>
      </c>
      <c r="J104" s="6" t="s">
        <v>97</v>
      </c>
    </row>
    <row r="105">
      <c r="A105" s="21" t="s">
        <v>21</v>
      </c>
      <c r="B105" s="21" t="s">
        <v>22</v>
      </c>
      <c r="C105" s="21" t="s">
        <v>318</v>
      </c>
      <c r="D105" s="21" t="s">
        <v>37</v>
      </c>
      <c r="E105" s="21">
        <v>86906.0</v>
      </c>
      <c r="F105" s="22">
        <v>45890.0</v>
      </c>
      <c r="G105" s="7" t="s">
        <v>319</v>
      </c>
      <c r="H105" s="21" t="s">
        <v>320</v>
      </c>
      <c r="I105" s="21" t="s">
        <v>321</v>
      </c>
      <c r="J105" s="6" t="s">
        <v>97</v>
      </c>
    </row>
    <row r="106">
      <c r="A106" s="21" t="s">
        <v>21</v>
      </c>
      <c r="B106" s="21" t="s">
        <v>22</v>
      </c>
      <c r="C106" s="21" t="s">
        <v>318</v>
      </c>
      <c r="D106" s="21" t="s">
        <v>37</v>
      </c>
      <c r="E106" s="21">
        <v>86906.0</v>
      </c>
      <c r="F106" s="22" t="s">
        <v>322</v>
      </c>
      <c r="G106" s="7" t="s">
        <v>323</v>
      </c>
      <c r="H106" s="21" t="s">
        <v>324</v>
      </c>
      <c r="I106" s="21" t="s">
        <v>325</v>
      </c>
      <c r="J106" s="6" t="s">
        <v>97</v>
      </c>
    </row>
    <row r="107">
      <c r="A107" s="21" t="s">
        <v>21</v>
      </c>
      <c r="B107" s="21" t="s">
        <v>22</v>
      </c>
      <c r="C107" s="21" t="s">
        <v>318</v>
      </c>
      <c r="D107" s="21" t="s">
        <v>37</v>
      </c>
      <c r="E107" s="21">
        <v>86906.0</v>
      </c>
      <c r="F107" s="22">
        <v>45953.0</v>
      </c>
      <c r="G107" s="7" t="s">
        <v>326</v>
      </c>
      <c r="H107" s="21" t="s">
        <v>327</v>
      </c>
      <c r="I107" s="21">
        <v>24.0</v>
      </c>
      <c r="J107" s="6" t="s">
        <v>97</v>
      </c>
    </row>
    <row r="108">
      <c r="A108" s="21" t="s">
        <v>21</v>
      </c>
      <c r="B108" s="21" t="s">
        <v>22</v>
      </c>
      <c r="C108" s="21" t="s">
        <v>318</v>
      </c>
      <c r="D108" s="21" t="s">
        <v>37</v>
      </c>
      <c r="E108" s="21">
        <v>86906.0</v>
      </c>
      <c r="F108" s="22">
        <v>45981.0</v>
      </c>
      <c r="G108" s="7" t="s">
        <v>328</v>
      </c>
      <c r="H108" s="21" t="s">
        <v>329</v>
      </c>
      <c r="I108" s="21">
        <v>12.0</v>
      </c>
      <c r="J108" s="6" t="s">
        <v>97</v>
      </c>
    </row>
    <row r="109">
      <c r="A109" s="21" t="s">
        <v>21</v>
      </c>
      <c r="B109" s="21" t="s">
        <v>22</v>
      </c>
      <c r="C109" s="21" t="s">
        <v>318</v>
      </c>
      <c r="D109" s="21" t="s">
        <v>37</v>
      </c>
      <c r="E109" s="21">
        <v>86906.0</v>
      </c>
      <c r="F109" s="22">
        <v>45902.0</v>
      </c>
      <c r="G109" s="7" t="s">
        <v>330</v>
      </c>
      <c r="H109" s="21" t="s">
        <v>331</v>
      </c>
      <c r="I109" s="21">
        <v>3.0</v>
      </c>
      <c r="J109" s="6" t="s">
        <v>97</v>
      </c>
    </row>
    <row r="110">
      <c r="A110" s="21" t="s">
        <v>21</v>
      </c>
      <c r="B110" s="21" t="s">
        <v>22</v>
      </c>
      <c r="C110" s="21" t="s">
        <v>332</v>
      </c>
      <c r="D110" s="21" t="s">
        <v>37</v>
      </c>
      <c r="E110" s="21">
        <v>86906.0</v>
      </c>
      <c r="F110" s="22">
        <v>45909.0</v>
      </c>
      <c r="G110" s="7" t="s">
        <v>333</v>
      </c>
      <c r="H110" s="21" t="s">
        <v>334</v>
      </c>
      <c r="I110" s="21">
        <v>3.0</v>
      </c>
      <c r="J110" s="6" t="s">
        <v>97</v>
      </c>
    </row>
    <row r="111">
      <c r="A111" s="21" t="s">
        <v>21</v>
      </c>
      <c r="B111" s="21" t="s">
        <v>22</v>
      </c>
      <c r="C111" s="21" t="s">
        <v>332</v>
      </c>
      <c r="D111" s="21" t="s">
        <v>37</v>
      </c>
      <c r="E111" s="21">
        <v>86906.0</v>
      </c>
      <c r="F111" s="22">
        <v>45974.0</v>
      </c>
      <c r="G111" s="7" t="s">
        <v>335</v>
      </c>
      <c r="H111" s="21" t="s">
        <v>336</v>
      </c>
      <c r="I111" s="21">
        <v>3.0</v>
      </c>
      <c r="J111" s="6" t="s">
        <v>97</v>
      </c>
    </row>
    <row r="112">
      <c r="A112" s="21" t="s">
        <v>21</v>
      </c>
      <c r="B112" s="21" t="s">
        <v>22</v>
      </c>
      <c r="C112" s="21" t="s">
        <v>332</v>
      </c>
      <c r="D112" s="21" t="s">
        <v>37</v>
      </c>
      <c r="E112" s="21">
        <v>86906.0</v>
      </c>
      <c r="F112" s="22">
        <v>45987.0</v>
      </c>
      <c r="G112" s="7" t="s">
        <v>337</v>
      </c>
      <c r="H112" s="21" t="s">
        <v>338</v>
      </c>
      <c r="I112" s="21">
        <v>3.0</v>
      </c>
      <c r="J112" s="6" t="s">
        <v>97</v>
      </c>
    </row>
    <row r="113">
      <c r="A113" s="21" t="s">
        <v>21</v>
      </c>
      <c r="B113" s="21" t="s">
        <v>22</v>
      </c>
      <c r="C113" s="21" t="s">
        <v>318</v>
      </c>
      <c r="D113" s="21" t="s">
        <v>37</v>
      </c>
      <c r="E113" s="21">
        <v>86906.0</v>
      </c>
      <c r="F113" s="22">
        <v>45854.0</v>
      </c>
      <c r="G113" s="7" t="s">
        <v>339</v>
      </c>
      <c r="H113" s="21" t="s">
        <v>340</v>
      </c>
      <c r="I113" s="21">
        <v>24.0</v>
      </c>
      <c r="J113" s="6" t="s">
        <v>97</v>
      </c>
    </row>
    <row r="114">
      <c r="A114" s="21" t="s">
        <v>21</v>
      </c>
      <c r="B114" s="21" t="s">
        <v>22</v>
      </c>
      <c r="C114" s="21" t="s">
        <v>318</v>
      </c>
      <c r="D114" s="21" t="s">
        <v>37</v>
      </c>
      <c r="E114" s="21">
        <v>86906.0</v>
      </c>
      <c r="F114" s="22">
        <v>45855.0</v>
      </c>
      <c r="G114" s="7" t="s">
        <v>339</v>
      </c>
      <c r="H114" s="21" t="s">
        <v>340</v>
      </c>
      <c r="I114" s="21">
        <v>15.0</v>
      </c>
      <c r="J114" s="6" t="s">
        <v>97</v>
      </c>
    </row>
    <row r="115">
      <c r="A115" s="21" t="s">
        <v>21</v>
      </c>
      <c r="B115" s="21" t="s">
        <v>22</v>
      </c>
      <c r="C115" s="21" t="s">
        <v>318</v>
      </c>
      <c r="D115" s="21" t="s">
        <v>37</v>
      </c>
      <c r="E115" s="21">
        <v>86906.0</v>
      </c>
      <c r="F115" s="22">
        <v>45882.0</v>
      </c>
      <c r="G115" s="7" t="s">
        <v>341</v>
      </c>
      <c r="H115" s="21" t="s">
        <v>342</v>
      </c>
      <c r="I115" s="21">
        <v>24.0</v>
      </c>
      <c r="J115" s="6" t="s">
        <v>97</v>
      </c>
    </row>
    <row r="116">
      <c r="A116" s="21" t="s">
        <v>21</v>
      </c>
      <c r="B116" s="21" t="s">
        <v>22</v>
      </c>
      <c r="C116" s="21" t="s">
        <v>318</v>
      </c>
      <c r="D116" s="21" t="s">
        <v>37</v>
      </c>
      <c r="E116" s="21">
        <v>86906.0</v>
      </c>
      <c r="F116" s="22">
        <v>45883.0</v>
      </c>
      <c r="G116" s="7" t="s">
        <v>341</v>
      </c>
      <c r="H116" s="21" t="s">
        <v>343</v>
      </c>
      <c r="I116" s="21">
        <v>15.0</v>
      </c>
      <c r="J116" s="6" t="s">
        <v>97</v>
      </c>
    </row>
    <row r="117">
      <c r="A117" s="21" t="s">
        <v>21</v>
      </c>
      <c r="B117" s="21" t="s">
        <v>22</v>
      </c>
      <c r="C117" s="21" t="s">
        <v>318</v>
      </c>
      <c r="D117" s="21" t="s">
        <v>37</v>
      </c>
      <c r="E117" s="21">
        <v>86906.0</v>
      </c>
      <c r="F117" s="22">
        <v>45896.0</v>
      </c>
      <c r="G117" s="7" t="s">
        <v>344</v>
      </c>
      <c r="H117" s="21" t="s">
        <v>345</v>
      </c>
      <c r="I117" s="21">
        <v>24.0</v>
      </c>
      <c r="J117" s="6" t="s">
        <v>97</v>
      </c>
    </row>
    <row r="118">
      <c r="A118" s="21" t="s">
        <v>21</v>
      </c>
      <c r="B118" s="21" t="s">
        <v>22</v>
      </c>
      <c r="C118" s="21" t="s">
        <v>318</v>
      </c>
      <c r="D118" s="21" t="s">
        <v>37</v>
      </c>
      <c r="E118" s="21">
        <v>86906.0</v>
      </c>
      <c r="F118" s="22">
        <v>45897.0</v>
      </c>
      <c r="G118" s="7" t="s">
        <v>344</v>
      </c>
      <c r="H118" s="21" t="s">
        <v>345</v>
      </c>
      <c r="I118" s="21">
        <v>15.0</v>
      </c>
      <c r="J118" s="6" t="s">
        <v>97</v>
      </c>
    </row>
    <row r="119">
      <c r="A119" s="21" t="s">
        <v>21</v>
      </c>
      <c r="B119" s="21" t="s">
        <v>22</v>
      </c>
      <c r="C119" s="21" t="s">
        <v>318</v>
      </c>
      <c r="D119" s="21" t="s">
        <v>37</v>
      </c>
      <c r="E119" s="21">
        <v>86906.0</v>
      </c>
      <c r="F119" s="22">
        <v>45903.0</v>
      </c>
      <c r="G119" s="7" t="s">
        <v>346</v>
      </c>
      <c r="H119" s="21" t="s">
        <v>347</v>
      </c>
      <c r="I119" s="21">
        <v>24.0</v>
      </c>
      <c r="J119" s="6" t="s">
        <v>97</v>
      </c>
    </row>
    <row r="120">
      <c r="A120" s="21" t="s">
        <v>21</v>
      </c>
      <c r="B120" s="21" t="s">
        <v>22</v>
      </c>
      <c r="C120" s="21" t="s">
        <v>318</v>
      </c>
      <c r="D120" s="21" t="s">
        <v>37</v>
      </c>
      <c r="E120" s="21">
        <v>86906.0</v>
      </c>
      <c r="F120" s="22">
        <v>45904.0</v>
      </c>
      <c r="G120" s="7" t="s">
        <v>346</v>
      </c>
      <c r="H120" s="21" t="s">
        <v>347</v>
      </c>
      <c r="I120" s="21">
        <v>15.0</v>
      </c>
      <c r="J120" s="6" t="s">
        <v>97</v>
      </c>
    </row>
    <row r="121">
      <c r="A121" s="21" t="s">
        <v>21</v>
      </c>
      <c r="B121" s="21" t="s">
        <v>22</v>
      </c>
      <c r="C121" s="21" t="s">
        <v>318</v>
      </c>
      <c r="D121" s="21" t="s">
        <v>37</v>
      </c>
      <c r="E121" s="21">
        <v>86906.0</v>
      </c>
      <c r="F121" s="22">
        <v>45931.0</v>
      </c>
      <c r="G121" s="7" t="s">
        <v>348</v>
      </c>
      <c r="H121" s="21" t="s">
        <v>349</v>
      </c>
      <c r="I121" s="21">
        <v>24.0</v>
      </c>
      <c r="J121" s="6" t="s">
        <v>97</v>
      </c>
    </row>
    <row r="122">
      <c r="A122" s="21" t="s">
        <v>21</v>
      </c>
      <c r="B122" s="21" t="s">
        <v>22</v>
      </c>
      <c r="C122" s="21" t="s">
        <v>318</v>
      </c>
      <c r="D122" s="21" t="s">
        <v>37</v>
      </c>
      <c r="E122" s="21">
        <v>86906.0</v>
      </c>
      <c r="F122" s="22" t="s">
        <v>350</v>
      </c>
      <c r="G122" s="7" t="s">
        <v>348</v>
      </c>
      <c r="H122" s="21" t="s">
        <v>351</v>
      </c>
      <c r="I122" s="21">
        <v>15.0</v>
      </c>
      <c r="J122" s="6" t="s">
        <v>97</v>
      </c>
    </row>
    <row r="123">
      <c r="A123" s="21" t="s">
        <v>21</v>
      </c>
      <c r="B123" s="21" t="s">
        <v>22</v>
      </c>
      <c r="C123" s="21" t="s">
        <v>318</v>
      </c>
      <c r="D123" s="21" t="s">
        <v>37</v>
      </c>
      <c r="E123" s="21">
        <v>86906.0</v>
      </c>
      <c r="F123" s="22">
        <v>45952.0</v>
      </c>
      <c r="G123" s="7" t="s">
        <v>352</v>
      </c>
      <c r="H123" s="21" t="s">
        <v>353</v>
      </c>
      <c r="I123" s="21">
        <v>11.0</v>
      </c>
      <c r="J123" s="6" t="s">
        <v>97</v>
      </c>
    </row>
    <row r="124">
      <c r="A124" s="21" t="s">
        <v>21</v>
      </c>
      <c r="B124" s="21" t="s">
        <v>22</v>
      </c>
      <c r="C124" s="21" t="s">
        <v>318</v>
      </c>
      <c r="D124" s="21" t="s">
        <v>37</v>
      </c>
      <c r="E124" s="21">
        <v>86906.0</v>
      </c>
      <c r="F124" s="22">
        <v>45952.0</v>
      </c>
      <c r="G124" s="7" t="s">
        <v>352</v>
      </c>
      <c r="H124" s="21" t="s">
        <v>353</v>
      </c>
      <c r="I124" s="21">
        <v>13.0</v>
      </c>
      <c r="J124" s="6" t="s">
        <v>97</v>
      </c>
    </row>
    <row r="125">
      <c r="A125" s="21" t="s">
        <v>21</v>
      </c>
      <c r="B125" s="21" t="s">
        <v>22</v>
      </c>
      <c r="C125" s="21" t="s">
        <v>318</v>
      </c>
      <c r="D125" s="21" t="s">
        <v>37</v>
      </c>
      <c r="E125" s="21">
        <v>86906.0</v>
      </c>
      <c r="F125" s="22">
        <v>45953.0</v>
      </c>
      <c r="G125" s="7" t="s">
        <v>352</v>
      </c>
      <c r="H125" s="21" t="s">
        <v>353</v>
      </c>
      <c r="I125" s="21">
        <v>15.0</v>
      </c>
      <c r="J125" s="6" t="s">
        <v>97</v>
      </c>
    </row>
    <row r="126">
      <c r="A126" s="21" t="s">
        <v>22</v>
      </c>
      <c r="B126" s="21" t="s">
        <v>318</v>
      </c>
      <c r="C126" s="21" t="s">
        <v>37</v>
      </c>
      <c r="D126" s="21">
        <v>86906.0</v>
      </c>
      <c r="E126" s="21" t="s">
        <v>22</v>
      </c>
      <c r="F126" s="22">
        <v>45958.0</v>
      </c>
      <c r="G126" s="7" t="s">
        <v>354</v>
      </c>
      <c r="H126" s="21" t="s">
        <v>355</v>
      </c>
      <c r="I126" s="21">
        <v>49.0</v>
      </c>
      <c r="J126" s="6" t="s">
        <v>97</v>
      </c>
    </row>
    <row r="127">
      <c r="A127" s="21" t="s">
        <v>21</v>
      </c>
      <c r="B127" s="21" t="s">
        <v>22</v>
      </c>
      <c r="C127" s="21" t="s">
        <v>318</v>
      </c>
      <c r="D127" s="21" t="s">
        <v>356</v>
      </c>
      <c r="E127" s="21">
        <v>86357.0</v>
      </c>
      <c r="F127" s="22">
        <v>45841.0</v>
      </c>
      <c r="G127" s="7" t="s">
        <v>357</v>
      </c>
      <c r="H127" s="21" t="s">
        <v>316</v>
      </c>
      <c r="I127" s="21">
        <v>7.0</v>
      </c>
      <c r="J127" s="6" t="s">
        <v>97</v>
      </c>
    </row>
    <row r="128">
      <c r="A128" s="21" t="s">
        <v>21</v>
      </c>
      <c r="B128" s="21" t="s">
        <v>22</v>
      </c>
      <c r="C128" s="21" t="s">
        <v>318</v>
      </c>
      <c r="D128" s="21" t="s">
        <v>356</v>
      </c>
      <c r="E128" s="21">
        <v>86357.0</v>
      </c>
      <c r="F128" s="22">
        <v>45901.0</v>
      </c>
      <c r="G128" s="7" t="s">
        <v>358</v>
      </c>
      <c r="H128" s="21" t="s">
        <v>320</v>
      </c>
      <c r="I128" s="21">
        <v>2.0</v>
      </c>
      <c r="J128" s="6" t="s">
        <v>97</v>
      </c>
    </row>
    <row r="129">
      <c r="A129" s="21" t="s">
        <v>21</v>
      </c>
      <c r="B129" s="21" t="s">
        <v>22</v>
      </c>
      <c r="C129" s="21" t="s">
        <v>318</v>
      </c>
      <c r="D129" s="21" t="s">
        <v>356</v>
      </c>
      <c r="E129" s="21">
        <v>86357.0</v>
      </c>
      <c r="F129" s="22">
        <v>45901.0</v>
      </c>
      <c r="G129" s="7" t="s">
        <v>359</v>
      </c>
      <c r="H129" s="21" t="s">
        <v>327</v>
      </c>
      <c r="I129" s="21">
        <v>6.0</v>
      </c>
      <c r="J129" s="6" t="s">
        <v>97</v>
      </c>
    </row>
    <row r="130">
      <c r="A130" s="21" t="s">
        <v>21</v>
      </c>
      <c r="B130" s="21" t="s">
        <v>22</v>
      </c>
      <c r="C130" s="21" t="s">
        <v>318</v>
      </c>
      <c r="D130" s="21" t="s">
        <v>356</v>
      </c>
      <c r="E130" s="21">
        <v>86357.0</v>
      </c>
      <c r="F130" s="22">
        <v>45938.0</v>
      </c>
      <c r="G130" s="7" t="s">
        <v>360</v>
      </c>
      <c r="H130" s="21" t="s">
        <v>361</v>
      </c>
      <c r="I130" s="21">
        <v>6.0</v>
      </c>
      <c r="J130" s="6" t="s">
        <v>97</v>
      </c>
    </row>
    <row r="131">
      <c r="A131" s="21" t="s">
        <v>21</v>
      </c>
      <c r="B131" s="21" t="s">
        <v>22</v>
      </c>
      <c r="C131" s="21" t="s">
        <v>318</v>
      </c>
      <c r="D131" s="21" t="s">
        <v>356</v>
      </c>
      <c r="E131" s="21">
        <v>86357.0</v>
      </c>
      <c r="F131" s="22">
        <v>45986.0</v>
      </c>
      <c r="G131" s="7" t="s">
        <v>362</v>
      </c>
      <c r="H131" s="21" t="s">
        <v>363</v>
      </c>
      <c r="I131" s="21">
        <v>6.0</v>
      </c>
      <c r="J131" s="6" t="s">
        <v>97</v>
      </c>
    </row>
    <row r="132">
      <c r="A132" s="21" t="s">
        <v>21</v>
      </c>
      <c r="B132" s="21" t="s">
        <v>22</v>
      </c>
      <c r="C132" s="21" t="s">
        <v>318</v>
      </c>
      <c r="D132" s="21" t="s">
        <v>356</v>
      </c>
      <c r="E132" s="21">
        <v>86357.0</v>
      </c>
      <c r="F132" s="22">
        <v>45917.0</v>
      </c>
      <c r="G132" s="7" t="s">
        <v>364</v>
      </c>
      <c r="H132" s="21" t="s">
        <v>331</v>
      </c>
      <c r="I132" s="21">
        <v>2.0</v>
      </c>
      <c r="J132" s="6" t="s">
        <v>97</v>
      </c>
    </row>
    <row r="133">
      <c r="A133" s="21" t="s">
        <v>21</v>
      </c>
      <c r="B133" s="21" t="s">
        <v>22</v>
      </c>
      <c r="C133" s="21" t="s">
        <v>318</v>
      </c>
      <c r="D133" s="21" t="s">
        <v>356</v>
      </c>
      <c r="E133" s="21">
        <v>86357.0</v>
      </c>
      <c r="F133" s="22">
        <v>45964.0</v>
      </c>
      <c r="G133" s="7" t="s">
        <v>333</v>
      </c>
      <c r="H133" s="21" t="s">
        <v>334</v>
      </c>
      <c r="I133" s="21">
        <v>2.0</v>
      </c>
      <c r="J133" s="6" t="s">
        <v>97</v>
      </c>
    </row>
    <row r="134">
      <c r="A134" s="21" t="s">
        <v>21</v>
      </c>
      <c r="B134" s="21" t="s">
        <v>22</v>
      </c>
      <c r="C134" s="21" t="s">
        <v>318</v>
      </c>
      <c r="D134" s="21" t="s">
        <v>356</v>
      </c>
      <c r="E134" s="21">
        <v>86357.0</v>
      </c>
      <c r="F134" s="22">
        <v>45978.0</v>
      </c>
      <c r="G134" s="7" t="s">
        <v>335</v>
      </c>
      <c r="H134" s="21" t="s">
        <v>336</v>
      </c>
      <c r="I134" s="21">
        <v>1.0</v>
      </c>
      <c r="J134" s="6" t="s">
        <v>97</v>
      </c>
    </row>
    <row r="135">
      <c r="A135" s="21" t="s">
        <v>21</v>
      </c>
      <c r="B135" s="21" t="s">
        <v>22</v>
      </c>
      <c r="C135" s="21" t="s">
        <v>318</v>
      </c>
      <c r="D135" s="21" t="s">
        <v>356</v>
      </c>
      <c r="E135" s="21">
        <v>86357.0</v>
      </c>
      <c r="F135" s="22">
        <v>45987.0</v>
      </c>
      <c r="G135" s="7" t="s">
        <v>337</v>
      </c>
      <c r="H135" s="21" t="s">
        <v>338</v>
      </c>
      <c r="I135" s="21">
        <v>1.0</v>
      </c>
      <c r="J135" s="6" t="s">
        <v>97</v>
      </c>
    </row>
    <row r="136">
      <c r="A136" s="21" t="s">
        <v>21</v>
      </c>
      <c r="B136" s="21" t="s">
        <v>22</v>
      </c>
      <c r="C136" s="21" t="s">
        <v>318</v>
      </c>
      <c r="D136" s="21" t="s">
        <v>356</v>
      </c>
      <c r="E136" s="21">
        <v>86357.0</v>
      </c>
      <c r="F136" s="22">
        <v>45849.0</v>
      </c>
      <c r="G136" s="7" t="s">
        <v>339</v>
      </c>
      <c r="H136" s="21" t="s">
        <v>340</v>
      </c>
      <c r="I136" s="21">
        <v>5.0</v>
      </c>
      <c r="J136" s="6" t="s">
        <v>97</v>
      </c>
    </row>
    <row r="137">
      <c r="A137" s="21" t="s">
        <v>21</v>
      </c>
      <c r="B137" s="21" t="s">
        <v>22</v>
      </c>
      <c r="C137" s="21" t="s">
        <v>318</v>
      </c>
      <c r="D137" s="21" t="s">
        <v>356</v>
      </c>
      <c r="E137" s="21">
        <v>86357.0</v>
      </c>
      <c r="F137" s="22">
        <v>45852.0</v>
      </c>
      <c r="G137" s="7" t="s">
        <v>341</v>
      </c>
      <c r="H137" s="21" t="s">
        <v>342</v>
      </c>
      <c r="I137" s="21">
        <v>5.0</v>
      </c>
      <c r="J137" s="6" t="s">
        <v>97</v>
      </c>
    </row>
    <row r="138">
      <c r="A138" s="21" t="s">
        <v>21</v>
      </c>
      <c r="B138" s="21" t="s">
        <v>22</v>
      </c>
      <c r="C138" s="21" t="s">
        <v>318</v>
      </c>
      <c r="D138" s="21" t="s">
        <v>356</v>
      </c>
      <c r="E138" s="21">
        <v>86357.0</v>
      </c>
      <c r="F138" s="22">
        <v>45887.0</v>
      </c>
      <c r="G138" s="7" t="s">
        <v>344</v>
      </c>
      <c r="H138" s="21" t="s">
        <v>345</v>
      </c>
      <c r="I138" s="21">
        <v>6.0</v>
      </c>
      <c r="J138" s="6" t="s">
        <v>97</v>
      </c>
    </row>
    <row r="139">
      <c r="A139" s="21" t="s">
        <v>21</v>
      </c>
      <c r="B139" s="21" t="s">
        <v>22</v>
      </c>
      <c r="C139" s="21" t="s">
        <v>318</v>
      </c>
      <c r="D139" s="21" t="s">
        <v>356</v>
      </c>
      <c r="E139" s="21">
        <v>86357.0</v>
      </c>
      <c r="F139" s="22">
        <v>45901.0</v>
      </c>
      <c r="G139" s="7" t="s">
        <v>346</v>
      </c>
      <c r="H139" s="21" t="s">
        <v>347</v>
      </c>
      <c r="I139" s="21">
        <v>6.0</v>
      </c>
      <c r="J139" s="6" t="s">
        <v>97</v>
      </c>
    </row>
    <row r="140">
      <c r="A140" s="21" t="s">
        <v>21</v>
      </c>
      <c r="B140" s="21" t="s">
        <v>22</v>
      </c>
      <c r="C140" s="21" t="s">
        <v>318</v>
      </c>
      <c r="D140" s="21" t="s">
        <v>356</v>
      </c>
      <c r="E140" s="21">
        <v>86357.0</v>
      </c>
      <c r="F140" s="22">
        <v>45915.0</v>
      </c>
      <c r="G140" s="7" t="s">
        <v>348</v>
      </c>
      <c r="H140" s="21" t="s">
        <v>349</v>
      </c>
      <c r="I140" s="21">
        <v>6.0</v>
      </c>
      <c r="J140" s="6" t="s">
        <v>97</v>
      </c>
    </row>
    <row r="141">
      <c r="A141" s="21" t="s">
        <v>21</v>
      </c>
      <c r="B141" s="21" t="s">
        <v>22</v>
      </c>
      <c r="C141" s="21" t="s">
        <v>318</v>
      </c>
      <c r="D141" s="21" t="s">
        <v>356</v>
      </c>
      <c r="E141" s="21">
        <v>86357.0</v>
      </c>
      <c r="F141" s="22">
        <v>45933.0</v>
      </c>
      <c r="G141" s="7" t="s">
        <v>365</v>
      </c>
      <c r="H141" s="21" t="s">
        <v>366</v>
      </c>
      <c r="I141" s="21">
        <v>6.0</v>
      </c>
      <c r="J141" s="6" t="s">
        <v>97</v>
      </c>
    </row>
    <row r="142">
      <c r="A142" s="21" t="s">
        <v>21</v>
      </c>
      <c r="B142" s="21" t="s">
        <v>22</v>
      </c>
      <c r="C142" s="21" t="s">
        <v>318</v>
      </c>
      <c r="D142" s="21" t="s">
        <v>356</v>
      </c>
      <c r="E142" s="21">
        <v>86357.0</v>
      </c>
      <c r="F142" s="22">
        <v>45958.0</v>
      </c>
      <c r="G142" s="7" t="s">
        <v>365</v>
      </c>
      <c r="H142" s="21"/>
      <c r="I142" s="21"/>
      <c r="J142" s="6" t="s">
        <v>97</v>
      </c>
    </row>
    <row r="143">
      <c r="A143" s="21" t="s">
        <v>21</v>
      </c>
      <c r="B143" s="21" t="s">
        <v>22</v>
      </c>
      <c r="C143" s="21" t="s">
        <v>32</v>
      </c>
      <c r="D143" s="21" t="s">
        <v>367</v>
      </c>
      <c r="E143" s="21">
        <v>86944.0</v>
      </c>
      <c r="F143" s="22">
        <v>45903.0</v>
      </c>
      <c r="G143" s="7" t="s">
        <v>364</v>
      </c>
      <c r="H143" s="21" t="s">
        <v>331</v>
      </c>
      <c r="I143" s="21">
        <v>2.0</v>
      </c>
      <c r="J143" s="6" t="s">
        <v>97</v>
      </c>
    </row>
    <row r="144">
      <c r="A144" s="21" t="s">
        <v>21</v>
      </c>
      <c r="B144" s="21" t="s">
        <v>22</v>
      </c>
      <c r="C144" s="21" t="s">
        <v>32</v>
      </c>
      <c r="D144" s="21" t="s">
        <v>367</v>
      </c>
      <c r="E144" s="21">
        <v>86944.0</v>
      </c>
      <c r="F144" s="22">
        <v>45973.0</v>
      </c>
      <c r="G144" s="7" t="s">
        <v>333</v>
      </c>
      <c r="H144" s="21" t="s">
        <v>334</v>
      </c>
      <c r="I144" s="21">
        <v>1.0</v>
      </c>
      <c r="J144" s="6" t="s">
        <v>97</v>
      </c>
    </row>
    <row r="145">
      <c r="A145" s="21" t="s">
        <v>21</v>
      </c>
      <c r="B145" s="21" t="s">
        <v>22</v>
      </c>
      <c r="C145" s="21" t="s">
        <v>32</v>
      </c>
      <c r="D145" s="21" t="s">
        <v>367</v>
      </c>
      <c r="E145" s="21">
        <v>86944.0</v>
      </c>
      <c r="F145" s="22">
        <v>45981.0</v>
      </c>
      <c r="G145" s="7" t="s">
        <v>335</v>
      </c>
      <c r="H145" s="21" t="s">
        <v>336</v>
      </c>
      <c r="I145" s="21">
        <v>1.0</v>
      </c>
      <c r="J145" s="6" t="s">
        <v>97</v>
      </c>
    </row>
    <row r="146">
      <c r="A146" s="21" t="s">
        <v>21</v>
      </c>
      <c r="B146" s="21" t="s">
        <v>22</v>
      </c>
      <c r="C146" s="21" t="s">
        <v>32</v>
      </c>
      <c r="D146" s="21" t="s">
        <v>367</v>
      </c>
      <c r="E146" s="21">
        <v>86944.0</v>
      </c>
      <c r="F146" s="22">
        <v>45987.0</v>
      </c>
      <c r="G146" s="7" t="s">
        <v>337</v>
      </c>
      <c r="H146" s="21" t="s">
        <v>338</v>
      </c>
      <c r="I146" s="21">
        <v>1.0</v>
      </c>
      <c r="J146" s="6" t="s">
        <v>97</v>
      </c>
    </row>
    <row r="147">
      <c r="A147" s="21" t="s">
        <v>21</v>
      </c>
      <c r="B147" s="21" t="s">
        <v>22</v>
      </c>
      <c r="C147" s="21" t="s">
        <v>32</v>
      </c>
      <c r="D147" s="21" t="s">
        <v>367</v>
      </c>
      <c r="E147" s="21">
        <v>86944.0</v>
      </c>
      <c r="F147" s="22" t="s">
        <v>368</v>
      </c>
      <c r="G147" s="7" t="s">
        <v>369</v>
      </c>
      <c r="H147" s="21" t="s">
        <v>316</v>
      </c>
      <c r="I147" s="21">
        <v>10.0</v>
      </c>
      <c r="J147" s="6" t="s">
        <v>97</v>
      </c>
    </row>
    <row r="148">
      <c r="A148" s="21" t="s">
        <v>21</v>
      </c>
      <c r="B148" s="21" t="s">
        <v>22</v>
      </c>
      <c r="C148" s="21" t="s">
        <v>32</v>
      </c>
      <c r="D148" s="21" t="s">
        <v>367</v>
      </c>
      <c r="E148" s="21">
        <v>86944.0</v>
      </c>
      <c r="F148" s="22">
        <v>45887.0</v>
      </c>
      <c r="G148" s="7" t="s">
        <v>370</v>
      </c>
      <c r="H148" s="21" t="s">
        <v>371</v>
      </c>
      <c r="I148" s="21">
        <v>4.0</v>
      </c>
      <c r="J148" s="6" t="s">
        <v>97</v>
      </c>
    </row>
    <row r="149">
      <c r="A149" s="21" t="s">
        <v>21</v>
      </c>
      <c r="B149" s="21" t="s">
        <v>22</v>
      </c>
      <c r="C149" s="21" t="s">
        <v>32</v>
      </c>
      <c r="D149" s="21" t="s">
        <v>367</v>
      </c>
      <c r="E149" s="21">
        <v>86944.0</v>
      </c>
      <c r="F149" s="22">
        <v>45957.0</v>
      </c>
      <c r="G149" s="7" t="s">
        <v>372</v>
      </c>
      <c r="H149" s="21" t="s">
        <v>373</v>
      </c>
      <c r="I149" s="21">
        <v>13.0</v>
      </c>
      <c r="J149" s="6" t="s">
        <v>97</v>
      </c>
    </row>
    <row r="150">
      <c r="A150" s="21" t="s">
        <v>21</v>
      </c>
      <c r="B150" s="21" t="s">
        <v>22</v>
      </c>
      <c r="C150" s="21" t="s">
        <v>32</v>
      </c>
      <c r="D150" s="21" t="s">
        <v>367</v>
      </c>
      <c r="E150" s="21">
        <v>86944.0</v>
      </c>
      <c r="F150" s="22">
        <v>45981.0</v>
      </c>
      <c r="G150" s="7" t="s">
        <v>374</v>
      </c>
      <c r="H150" s="21" t="s">
        <v>375</v>
      </c>
      <c r="I150" s="21">
        <v>13.0</v>
      </c>
      <c r="J150" s="6" t="s">
        <v>97</v>
      </c>
    </row>
    <row r="151">
      <c r="A151" s="21" t="s">
        <v>21</v>
      </c>
      <c r="B151" s="21" t="s">
        <v>22</v>
      </c>
      <c r="C151" s="21" t="s">
        <v>32</v>
      </c>
      <c r="D151" s="21" t="s">
        <v>367</v>
      </c>
      <c r="E151" s="21">
        <v>86944.0</v>
      </c>
      <c r="F151" s="22">
        <v>45849.0</v>
      </c>
      <c r="G151" s="7" t="s">
        <v>339</v>
      </c>
      <c r="H151" s="21" t="s">
        <v>340</v>
      </c>
      <c r="I151" s="21">
        <v>14.0</v>
      </c>
      <c r="J151" s="6" t="s">
        <v>97</v>
      </c>
    </row>
    <row r="152">
      <c r="A152" s="21" t="s">
        <v>21</v>
      </c>
      <c r="B152" s="21" t="s">
        <v>22</v>
      </c>
      <c r="C152" s="21" t="s">
        <v>32</v>
      </c>
      <c r="D152" s="21" t="s">
        <v>367</v>
      </c>
      <c r="E152" s="21">
        <v>86944.0</v>
      </c>
      <c r="F152" s="22">
        <v>45849.0</v>
      </c>
      <c r="G152" s="7" t="s">
        <v>339</v>
      </c>
      <c r="H152" s="21" t="s">
        <v>340</v>
      </c>
      <c r="I152" s="21">
        <v>9.0</v>
      </c>
      <c r="J152" s="6" t="s">
        <v>97</v>
      </c>
    </row>
    <row r="153">
      <c r="A153" s="21" t="s">
        <v>21</v>
      </c>
      <c r="B153" s="21" t="s">
        <v>22</v>
      </c>
      <c r="C153" s="21" t="s">
        <v>32</v>
      </c>
      <c r="D153" s="21" t="s">
        <v>367</v>
      </c>
      <c r="E153" s="21">
        <v>86944.0</v>
      </c>
      <c r="F153" s="22">
        <v>45855.0</v>
      </c>
      <c r="G153" s="7" t="s">
        <v>341</v>
      </c>
      <c r="H153" s="21" t="s">
        <v>376</v>
      </c>
      <c r="I153" s="21">
        <v>14.0</v>
      </c>
      <c r="J153" s="6" t="s">
        <v>97</v>
      </c>
    </row>
    <row r="154">
      <c r="A154" s="21" t="s">
        <v>21</v>
      </c>
      <c r="B154" s="21" t="s">
        <v>22</v>
      </c>
      <c r="C154" s="21" t="s">
        <v>32</v>
      </c>
      <c r="D154" s="21" t="s">
        <v>367</v>
      </c>
      <c r="E154" s="21">
        <v>86944.0</v>
      </c>
      <c r="F154" s="22">
        <v>45856.0</v>
      </c>
      <c r="G154" s="7" t="s">
        <v>341</v>
      </c>
      <c r="H154" s="21" t="s">
        <v>376</v>
      </c>
      <c r="I154" s="21">
        <v>9.0</v>
      </c>
      <c r="J154" s="6" t="s">
        <v>97</v>
      </c>
    </row>
    <row r="155">
      <c r="A155" s="21" t="s">
        <v>21</v>
      </c>
      <c r="B155" s="21" t="s">
        <v>22</v>
      </c>
      <c r="C155" s="21" t="s">
        <v>32</v>
      </c>
      <c r="D155" s="21" t="s">
        <v>367</v>
      </c>
      <c r="E155" s="21">
        <v>86944.0</v>
      </c>
      <c r="F155" s="22">
        <v>45884.0</v>
      </c>
      <c r="G155" s="7" t="s">
        <v>344</v>
      </c>
      <c r="H155" s="21" t="s">
        <v>345</v>
      </c>
      <c r="I155" s="21">
        <v>14.0</v>
      </c>
      <c r="J155" s="6" t="s">
        <v>97</v>
      </c>
    </row>
    <row r="156">
      <c r="A156" s="21" t="s">
        <v>21</v>
      </c>
      <c r="B156" s="21" t="s">
        <v>22</v>
      </c>
      <c r="C156" s="21" t="s">
        <v>32</v>
      </c>
      <c r="D156" s="21" t="s">
        <v>367</v>
      </c>
      <c r="E156" s="21">
        <v>86944.0</v>
      </c>
      <c r="F156" s="22">
        <v>45884.0</v>
      </c>
      <c r="G156" s="7" t="s">
        <v>344</v>
      </c>
      <c r="H156" s="21" t="s">
        <v>345</v>
      </c>
      <c r="I156" s="21">
        <v>9.0</v>
      </c>
      <c r="J156" s="6" t="s">
        <v>97</v>
      </c>
    </row>
    <row r="157">
      <c r="A157" s="21" t="s">
        <v>21</v>
      </c>
      <c r="B157" s="21" t="s">
        <v>22</v>
      </c>
      <c r="C157" s="21" t="s">
        <v>32</v>
      </c>
      <c r="D157" s="21" t="s">
        <v>367</v>
      </c>
      <c r="E157" s="21">
        <v>86944.0</v>
      </c>
      <c r="F157" s="22">
        <v>45898.0</v>
      </c>
      <c r="G157" s="7" t="s">
        <v>346</v>
      </c>
      <c r="H157" s="21" t="s">
        <v>347</v>
      </c>
      <c r="I157" s="21">
        <v>14.0</v>
      </c>
      <c r="J157" s="6" t="s">
        <v>97</v>
      </c>
    </row>
    <row r="158">
      <c r="A158" s="21" t="s">
        <v>21</v>
      </c>
      <c r="B158" s="21" t="s">
        <v>22</v>
      </c>
      <c r="C158" s="21" t="s">
        <v>32</v>
      </c>
      <c r="D158" s="21" t="s">
        <v>367</v>
      </c>
      <c r="E158" s="21">
        <v>86944.0</v>
      </c>
      <c r="F158" s="22">
        <v>45898.0</v>
      </c>
      <c r="G158" s="7" t="s">
        <v>346</v>
      </c>
      <c r="H158" s="21" t="s">
        <v>347</v>
      </c>
      <c r="I158" s="21">
        <v>9.0</v>
      </c>
      <c r="J158" s="6" t="s">
        <v>97</v>
      </c>
    </row>
    <row r="159">
      <c r="A159" s="21" t="s">
        <v>21</v>
      </c>
      <c r="B159" s="21" t="s">
        <v>22</v>
      </c>
      <c r="C159" s="21" t="s">
        <v>32</v>
      </c>
      <c r="D159" s="21" t="s">
        <v>367</v>
      </c>
      <c r="E159" s="21">
        <v>86944.0</v>
      </c>
      <c r="F159" s="22">
        <v>45912.0</v>
      </c>
      <c r="G159" s="7" t="s">
        <v>348</v>
      </c>
      <c r="H159" s="21" t="s">
        <v>349</v>
      </c>
      <c r="I159" s="21">
        <v>14.0</v>
      </c>
      <c r="J159" s="6" t="s">
        <v>97</v>
      </c>
    </row>
    <row r="160">
      <c r="A160" s="21" t="s">
        <v>21</v>
      </c>
      <c r="B160" s="21" t="s">
        <v>22</v>
      </c>
      <c r="C160" s="21" t="s">
        <v>32</v>
      </c>
      <c r="D160" s="21" t="s">
        <v>367</v>
      </c>
      <c r="E160" s="21">
        <v>86944.0</v>
      </c>
      <c r="F160" s="22">
        <v>45912.0</v>
      </c>
      <c r="G160" s="7" t="s">
        <v>348</v>
      </c>
      <c r="H160" s="21" t="s">
        <v>349</v>
      </c>
      <c r="I160" s="21">
        <v>9.0</v>
      </c>
      <c r="J160" s="6" t="s">
        <v>97</v>
      </c>
    </row>
    <row r="161">
      <c r="A161" s="21" t="s">
        <v>21</v>
      </c>
      <c r="B161" s="21" t="s">
        <v>22</v>
      </c>
      <c r="C161" s="21" t="s">
        <v>32</v>
      </c>
      <c r="D161" s="21" t="s">
        <v>367</v>
      </c>
      <c r="E161" s="21">
        <v>86944.0</v>
      </c>
      <c r="F161" s="22">
        <v>45954.0</v>
      </c>
      <c r="G161" s="7" t="s">
        <v>377</v>
      </c>
      <c r="H161" s="21" t="s">
        <v>353</v>
      </c>
      <c r="I161" s="21">
        <v>14.0</v>
      </c>
      <c r="J161" s="6" t="s">
        <v>97</v>
      </c>
    </row>
    <row r="162">
      <c r="A162" s="21" t="s">
        <v>21</v>
      </c>
      <c r="B162" s="21" t="s">
        <v>22</v>
      </c>
      <c r="C162" s="21" t="s">
        <v>32</v>
      </c>
      <c r="D162" s="21" t="s">
        <v>367</v>
      </c>
      <c r="E162" s="21">
        <v>86944.0</v>
      </c>
      <c r="F162" s="22">
        <v>45954.0</v>
      </c>
      <c r="G162" s="7" t="s">
        <v>378</v>
      </c>
      <c r="H162" s="21" t="s">
        <v>353</v>
      </c>
      <c r="I162" s="21">
        <v>9.0</v>
      </c>
      <c r="J162" s="6" t="s">
        <v>97</v>
      </c>
    </row>
    <row r="163">
      <c r="A163" s="21" t="s">
        <v>21</v>
      </c>
      <c r="B163" s="21" t="s">
        <v>22</v>
      </c>
      <c r="C163" s="21" t="s">
        <v>32</v>
      </c>
      <c r="D163" s="21" t="s">
        <v>367</v>
      </c>
      <c r="E163" s="21">
        <v>86944.0</v>
      </c>
      <c r="F163" s="22">
        <v>45964.0</v>
      </c>
      <c r="G163" s="7" t="s">
        <v>354</v>
      </c>
      <c r="H163" s="21" t="s">
        <v>355</v>
      </c>
      <c r="I163" s="21">
        <v>22.0</v>
      </c>
      <c r="J163" s="6" t="s">
        <v>97</v>
      </c>
    </row>
    <row r="164">
      <c r="A164" s="21" t="s">
        <v>21</v>
      </c>
      <c r="B164" s="21" t="s">
        <v>22</v>
      </c>
      <c r="C164" s="21" t="s">
        <v>32</v>
      </c>
      <c r="D164" s="21" t="s">
        <v>367</v>
      </c>
      <c r="E164" s="21">
        <v>86944.0</v>
      </c>
      <c r="F164" s="22">
        <v>45975.0</v>
      </c>
      <c r="G164" s="7" t="s">
        <v>362</v>
      </c>
      <c r="H164" s="21" t="s">
        <v>366</v>
      </c>
      <c r="I164" s="21">
        <v>14.0</v>
      </c>
      <c r="J164" s="6" t="s">
        <v>97</v>
      </c>
    </row>
    <row r="165">
      <c r="A165" s="21" t="s">
        <v>21</v>
      </c>
      <c r="B165" s="21" t="s">
        <v>22</v>
      </c>
      <c r="C165" s="21" t="s">
        <v>32</v>
      </c>
      <c r="D165" s="21" t="s">
        <v>367</v>
      </c>
      <c r="E165" s="21">
        <v>86944.0</v>
      </c>
      <c r="F165" s="22">
        <v>45975.0</v>
      </c>
      <c r="G165" s="7" t="s">
        <v>362</v>
      </c>
      <c r="H165" s="21" t="s">
        <v>366</v>
      </c>
      <c r="I165" s="21">
        <v>9.0</v>
      </c>
      <c r="J165" s="6" t="s">
        <v>97</v>
      </c>
    </row>
    <row r="166">
      <c r="A166" s="21" t="s">
        <v>21</v>
      </c>
      <c r="B166" s="21" t="s">
        <v>22</v>
      </c>
      <c r="C166" s="21" t="s">
        <v>318</v>
      </c>
      <c r="D166" s="21" t="s">
        <v>28</v>
      </c>
      <c r="E166" s="21">
        <v>86843.0</v>
      </c>
      <c r="F166" s="22">
        <v>45967.0</v>
      </c>
      <c r="G166" s="7" t="s">
        <v>379</v>
      </c>
      <c r="H166" s="21" t="s">
        <v>355</v>
      </c>
      <c r="I166" s="21"/>
      <c r="J166" s="6" t="s">
        <v>97</v>
      </c>
    </row>
    <row r="167">
      <c r="A167" s="21" t="s">
        <v>21</v>
      </c>
      <c r="B167" s="21" t="s">
        <v>22</v>
      </c>
      <c r="C167" s="21" t="s">
        <v>23</v>
      </c>
      <c r="D167" s="21" t="s">
        <v>28</v>
      </c>
      <c r="E167" s="21">
        <v>86843.0</v>
      </c>
      <c r="F167" s="22">
        <v>45859.0</v>
      </c>
      <c r="G167" s="7" t="s">
        <v>380</v>
      </c>
      <c r="H167" s="21" t="s">
        <v>381</v>
      </c>
      <c r="I167" s="21" t="s">
        <v>382</v>
      </c>
      <c r="J167" s="6" t="s">
        <v>99</v>
      </c>
    </row>
    <row r="168">
      <c r="A168" s="21" t="s">
        <v>21</v>
      </c>
      <c r="B168" s="21" t="s">
        <v>22</v>
      </c>
      <c r="C168" s="21" t="s">
        <v>23</v>
      </c>
      <c r="D168" s="21" t="s">
        <v>28</v>
      </c>
      <c r="E168" s="21">
        <v>86843.0</v>
      </c>
      <c r="F168" s="22">
        <v>45880.0</v>
      </c>
      <c r="G168" s="7" t="s">
        <v>383</v>
      </c>
      <c r="H168" s="21" t="s">
        <v>384</v>
      </c>
      <c r="I168" s="21" t="s">
        <v>385</v>
      </c>
      <c r="J168" s="6" t="s">
        <v>99</v>
      </c>
    </row>
    <row r="169">
      <c r="A169" s="21" t="s">
        <v>21</v>
      </c>
      <c r="B169" s="21" t="s">
        <v>22</v>
      </c>
      <c r="C169" s="21" t="s">
        <v>23</v>
      </c>
      <c r="D169" s="21" t="s">
        <v>28</v>
      </c>
      <c r="E169" s="21">
        <v>86843.0</v>
      </c>
      <c r="F169" s="22">
        <v>45881.0</v>
      </c>
      <c r="G169" s="7" t="s">
        <v>386</v>
      </c>
      <c r="H169" s="21" t="s">
        <v>381</v>
      </c>
      <c r="I169" s="21" t="s">
        <v>387</v>
      </c>
      <c r="J169" s="6" t="s">
        <v>99</v>
      </c>
    </row>
    <row r="170">
      <c r="A170" s="21" t="s">
        <v>21</v>
      </c>
      <c r="B170" s="21" t="s">
        <v>22</v>
      </c>
      <c r="C170" s="21" t="s">
        <v>23</v>
      </c>
      <c r="D170" s="21" t="s">
        <v>28</v>
      </c>
      <c r="E170" s="21">
        <v>86843.0</v>
      </c>
      <c r="F170" s="22">
        <v>45883.0</v>
      </c>
      <c r="G170" s="7" t="s">
        <v>388</v>
      </c>
      <c r="H170" s="21" t="s">
        <v>381</v>
      </c>
      <c r="I170" s="21" t="s">
        <v>389</v>
      </c>
      <c r="J170" s="6" t="s">
        <v>99</v>
      </c>
    </row>
    <row r="171">
      <c r="A171" s="21" t="s">
        <v>21</v>
      </c>
      <c r="B171" s="21" t="s">
        <v>22</v>
      </c>
      <c r="C171" s="21" t="s">
        <v>23</v>
      </c>
      <c r="D171" s="21" t="s">
        <v>28</v>
      </c>
      <c r="E171" s="21">
        <v>86843.0</v>
      </c>
      <c r="F171" s="22">
        <v>45884.0</v>
      </c>
      <c r="G171" s="7" t="s">
        <v>390</v>
      </c>
      <c r="H171" s="21" t="s">
        <v>381</v>
      </c>
      <c r="I171" s="21" t="s">
        <v>391</v>
      </c>
      <c r="J171" s="6" t="s">
        <v>99</v>
      </c>
    </row>
    <row r="172">
      <c r="A172" s="21" t="s">
        <v>21</v>
      </c>
      <c r="B172" s="21" t="s">
        <v>22</v>
      </c>
      <c r="C172" s="21" t="s">
        <v>23</v>
      </c>
      <c r="D172" s="21" t="s">
        <v>28</v>
      </c>
      <c r="E172" s="21">
        <v>86843.0</v>
      </c>
      <c r="F172" s="22">
        <v>45888.0</v>
      </c>
      <c r="G172" s="7" t="s">
        <v>392</v>
      </c>
      <c r="H172" s="21" t="s">
        <v>384</v>
      </c>
      <c r="I172" s="21" t="s">
        <v>391</v>
      </c>
      <c r="J172" s="6" t="s">
        <v>99</v>
      </c>
    </row>
    <row r="173">
      <c r="A173" s="21" t="s">
        <v>21</v>
      </c>
      <c r="B173" s="21" t="s">
        <v>22</v>
      </c>
      <c r="C173" s="21" t="s">
        <v>23</v>
      </c>
      <c r="D173" s="21" t="s">
        <v>28</v>
      </c>
      <c r="E173" s="21">
        <v>86843.0</v>
      </c>
      <c r="F173" s="22">
        <v>45890.0</v>
      </c>
      <c r="G173" s="7" t="s">
        <v>393</v>
      </c>
      <c r="H173" s="21" t="s">
        <v>384</v>
      </c>
      <c r="I173" s="21" t="s">
        <v>394</v>
      </c>
      <c r="J173" s="6" t="s">
        <v>99</v>
      </c>
    </row>
    <row r="174">
      <c r="A174" s="21" t="s">
        <v>21</v>
      </c>
      <c r="B174" s="21" t="s">
        <v>22</v>
      </c>
      <c r="C174" s="21" t="s">
        <v>23</v>
      </c>
      <c r="D174" s="21" t="s">
        <v>28</v>
      </c>
      <c r="E174" s="21">
        <v>86843.0</v>
      </c>
      <c r="F174" s="22">
        <v>45891.0</v>
      </c>
      <c r="G174" s="7" t="s">
        <v>395</v>
      </c>
      <c r="H174" s="21" t="s">
        <v>384</v>
      </c>
      <c r="I174" s="21" t="s">
        <v>387</v>
      </c>
      <c r="J174" s="6" t="s">
        <v>99</v>
      </c>
    </row>
    <row r="175">
      <c r="A175" s="21" t="s">
        <v>21</v>
      </c>
      <c r="B175" s="21" t="s">
        <v>22</v>
      </c>
      <c r="C175" s="21" t="s">
        <v>32</v>
      </c>
      <c r="D175" s="21" t="s">
        <v>33</v>
      </c>
      <c r="E175" s="21">
        <v>86901.0</v>
      </c>
      <c r="F175" s="22">
        <v>45896.0</v>
      </c>
      <c r="G175" s="7" t="s">
        <v>396</v>
      </c>
      <c r="H175" s="21" t="s">
        <v>381</v>
      </c>
      <c r="I175" s="21" t="s">
        <v>295</v>
      </c>
      <c r="J175" s="6" t="s">
        <v>99</v>
      </c>
    </row>
    <row r="176">
      <c r="A176" s="21" t="s">
        <v>21</v>
      </c>
      <c r="B176" s="21" t="s">
        <v>22</v>
      </c>
      <c r="C176" s="21" t="s">
        <v>32</v>
      </c>
      <c r="D176" s="21" t="s">
        <v>33</v>
      </c>
      <c r="E176" s="21">
        <v>86901.0</v>
      </c>
      <c r="F176" s="22">
        <v>45896.0</v>
      </c>
      <c r="G176" s="7" t="s">
        <v>397</v>
      </c>
      <c r="H176" s="21" t="s">
        <v>398</v>
      </c>
      <c r="I176" s="21" t="s">
        <v>277</v>
      </c>
      <c r="J176" s="6" t="s">
        <v>99</v>
      </c>
    </row>
    <row r="177">
      <c r="A177" s="21" t="s">
        <v>21</v>
      </c>
      <c r="B177" s="21" t="s">
        <v>22</v>
      </c>
      <c r="C177" s="21" t="s">
        <v>23</v>
      </c>
      <c r="D177" s="21" t="s">
        <v>28</v>
      </c>
      <c r="E177" s="21">
        <v>86843.0</v>
      </c>
      <c r="F177" s="22">
        <v>45898.0</v>
      </c>
      <c r="G177" s="7" t="s">
        <v>399</v>
      </c>
      <c r="H177" s="21" t="s">
        <v>398</v>
      </c>
      <c r="I177" s="21" t="s">
        <v>400</v>
      </c>
      <c r="J177" s="6" t="s">
        <v>99</v>
      </c>
    </row>
    <row r="178">
      <c r="A178" s="21" t="s">
        <v>21</v>
      </c>
      <c r="B178" s="21" t="s">
        <v>22</v>
      </c>
      <c r="C178" s="21" t="s">
        <v>23</v>
      </c>
      <c r="D178" s="21" t="s">
        <v>28</v>
      </c>
      <c r="E178" s="21">
        <v>86843.0</v>
      </c>
      <c r="F178" s="22">
        <v>45908.0</v>
      </c>
      <c r="G178" s="7" t="s">
        <v>401</v>
      </c>
      <c r="H178" s="21" t="s">
        <v>402</v>
      </c>
      <c r="I178" s="21" t="s">
        <v>403</v>
      </c>
      <c r="J178" s="6" t="s">
        <v>99</v>
      </c>
    </row>
    <row r="179">
      <c r="A179" s="21" t="s">
        <v>21</v>
      </c>
      <c r="B179" s="21" t="s">
        <v>22</v>
      </c>
      <c r="C179" s="21" t="s">
        <v>23</v>
      </c>
      <c r="D179" s="21" t="s">
        <v>28</v>
      </c>
      <c r="E179" s="21">
        <v>86843.0</v>
      </c>
      <c r="F179" s="22">
        <v>45909.0</v>
      </c>
      <c r="G179" s="7" t="s">
        <v>404</v>
      </c>
      <c r="H179" s="21" t="s">
        <v>402</v>
      </c>
      <c r="I179" s="21" t="s">
        <v>387</v>
      </c>
      <c r="J179" s="6" t="s">
        <v>99</v>
      </c>
    </row>
    <row r="180">
      <c r="A180" s="21" t="s">
        <v>21</v>
      </c>
      <c r="B180" s="21" t="s">
        <v>22</v>
      </c>
      <c r="C180" s="21" t="s">
        <v>32</v>
      </c>
      <c r="D180" s="21" t="s">
        <v>33</v>
      </c>
      <c r="E180" s="21">
        <v>86901.0</v>
      </c>
      <c r="F180" s="22">
        <v>45910.0</v>
      </c>
      <c r="G180" s="7" t="s">
        <v>405</v>
      </c>
      <c r="H180" s="21" t="s">
        <v>384</v>
      </c>
      <c r="I180" s="21" t="s">
        <v>295</v>
      </c>
      <c r="J180" s="6" t="s">
        <v>99</v>
      </c>
    </row>
    <row r="181">
      <c r="A181" s="21" t="s">
        <v>21</v>
      </c>
      <c r="B181" s="21" t="s">
        <v>22</v>
      </c>
      <c r="C181" s="21" t="s">
        <v>23</v>
      </c>
      <c r="D181" s="21" t="s">
        <v>28</v>
      </c>
      <c r="E181" s="21">
        <v>86843.0</v>
      </c>
      <c r="F181" s="22">
        <v>45911.0</v>
      </c>
      <c r="G181" s="7" t="s">
        <v>406</v>
      </c>
      <c r="H181" s="21" t="s">
        <v>407</v>
      </c>
      <c r="I181" s="21" t="s">
        <v>171</v>
      </c>
      <c r="J181" s="6" t="s">
        <v>99</v>
      </c>
    </row>
    <row r="182">
      <c r="A182" s="21" t="s">
        <v>21</v>
      </c>
      <c r="B182" s="21" t="s">
        <v>22</v>
      </c>
      <c r="C182" s="21" t="s">
        <v>32</v>
      </c>
      <c r="D182" s="21" t="s">
        <v>33</v>
      </c>
      <c r="E182" s="21">
        <v>86901.0</v>
      </c>
      <c r="F182" s="22">
        <v>45911.0</v>
      </c>
      <c r="G182" s="7" t="s">
        <v>406</v>
      </c>
      <c r="H182" s="21" t="s">
        <v>407</v>
      </c>
      <c r="I182" s="21" t="s">
        <v>408</v>
      </c>
      <c r="J182" s="6" t="s">
        <v>99</v>
      </c>
    </row>
    <row r="183">
      <c r="A183" s="21" t="s">
        <v>21</v>
      </c>
      <c r="B183" s="21" t="s">
        <v>22</v>
      </c>
      <c r="C183" s="21" t="s">
        <v>23</v>
      </c>
      <c r="D183" s="21" t="s">
        <v>28</v>
      </c>
      <c r="E183" s="21">
        <v>86843.0</v>
      </c>
      <c r="F183" s="22">
        <v>45925.0</v>
      </c>
      <c r="G183" s="7" t="s">
        <v>409</v>
      </c>
      <c r="H183" s="21" t="s">
        <v>398</v>
      </c>
      <c r="I183" s="21" t="s">
        <v>410</v>
      </c>
      <c r="J183" s="6" t="s">
        <v>99</v>
      </c>
    </row>
    <row r="184">
      <c r="A184" s="21" t="s">
        <v>21</v>
      </c>
      <c r="B184" s="21" t="s">
        <v>22</v>
      </c>
      <c r="C184" s="21" t="s">
        <v>23</v>
      </c>
      <c r="D184" s="21" t="s">
        <v>28</v>
      </c>
      <c r="E184" s="21">
        <v>86843.0</v>
      </c>
      <c r="F184" s="22">
        <v>45925.0</v>
      </c>
      <c r="G184" s="7" t="s">
        <v>411</v>
      </c>
      <c r="H184" s="21" t="s">
        <v>402</v>
      </c>
      <c r="I184" s="21" t="s">
        <v>389</v>
      </c>
      <c r="J184" s="6" t="s">
        <v>99</v>
      </c>
    </row>
    <row r="185">
      <c r="A185" s="21" t="s">
        <v>21</v>
      </c>
      <c r="B185" s="21" t="s">
        <v>22</v>
      </c>
      <c r="C185" s="21" t="s">
        <v>32</v>
      </c>
      <c r="D185" s="21" t="s">
        <v>33</v>
      </c>
      <c r="E185" s="21">
        <v>86901.0</v>
      </c>
      <c r="F185" s="22">
        <v>45926.0</v>
      </c>
      <c r="G185" s="7" t="s">
        <v>412</v>
      </c>
      <c r="H185" s="21" t="s">
        <v>402</v>
      </c>
      <c r="I185" s="21" t="s">
        <v>295</v>
      </c>
      <c r="J185" s="6" t="s">
        <v>99</v>
      </c>
    </row>
    <row r="186">
      <c r="A186" s="21" t="s">
        <v>21</v>
      </c>
      <c r="B186" s="21" t="s">
        <v>22</v>
      </c>
      <c r="C186" s="21" t="s">
        <v>23</v>
      </c>
      <c r="D186" s="21" t="s">
        <v>28</v>
      </c>
      <c r="E186" s="21">
        <v>86843.0</v>
      </c>
      <c r="F186" s="22">
        <v>45926.0</v>
      </c>
      <c r="G186" s="7" t="s">
        <v>413</v>
      </c>
      <c r="H186" s="21" t="s">
        <v>402</v>
      </c>
      <c r="I186" s="21" t="s">
        <v>391</v>
      </c>
      <c r="J186" s="6" t="s">
        <v>99</v>
      </c>
    </row>
    <row r="187">
      <c r="A187" s="21" t="s">
        <v>21</v>
      </c>
      <c r="B187" s="21" t="s">
        <v>22</v>
      </c>
      <c r="C187" s="21" t="s">
        <v>32</v>
      </c>
      <c r="D187" s="21" t="s">
        <v>33</v>
      </c>
      <c r="E187" s="21">
        <v>86901.0</v>
      </c>
      <c r="F187" s="22" t="s">
        <v>414</v>
      </c>
      <c r="G187" s="7" t="s">
        <v>415</v>
      </c>
      <c r="H187" s="21" t="s">
        <v>416</v>
      </c>
      <c r="I187" s="21" t="s">
        <v>417</v>
      </c>
      <c r="J187" s="6" t="s">
        <v>99</v>
      </c>
    </row>
    <row r="188">
      <c r="A188" s="21" t="s">
        <v>21</v>
      </c>
      <c r="B188" s="21" t="s">
        <v>22</v>
      </c>
      <c r="C188" s="21" t="s">
        <v>23</v>
      </c>
      <c r="D188" s="21" t="s">
        <v>28</v>
      </c>
      <c r="E188" s="21">
        <v>86843.0</v>
      </c>
      <c r="F188" s="22">
        <v>45937.0</v>
      </c>
      <c r="G188" s="7" t="s">
        <v>418</v>
      </c>
      <c r="H188" s="21" t="s">
        <v>416</v>
      </c>
      <c r="I188" s="21" t="s">
        <v>307</v>
      </c>
      <c r="J188" s="6" t="s">
        <v>99</v>
      </c>
    </row>
    <row r="189">
      <c r="A189" s="21" t="s">
        <v>21</v>
      </c>
      <c r="B189" s="21" t="s">
        <v>22</v>
      </c>
      <c r="C189" s="21" t="s">
        <v>23</v>
      </c>
      <c r="D189" s="21" t="s">
        <v>28</v>
      </c>
      <c r="E189" s="21">
        <v>86843.0</v>
      </c>
      <c r="F189" s="22">
        <v>45951.0</v>
      </c>
      <c r="G189" s="7" t="s">
        <v>419</v>
      </c>
      <c r="H189" s="21" t="s">
        <v>420</v>
      </c>
      <c r="I189" s="21" t="s">
        <v>171</v>
      </c>
      <c r="J189" s="6" t="s">
        <v>99</v>
      </c>
    </row>
    <row r="190">
      <c r="A190" s="21" t="s">
        <v>21</v>
      </c>
      <c r="B190" s="21" t="s">
        <v>22</v>
      </c>
      <c r="C190" s="21" t="s">
        <v>32</v>
      </c>
      <c r="D190" s="21" t="s">
        <v>33</v>
      </c>
      <c r="E190" s="21">
        <v>86901.0</v>
      </c>
      <c r="F190" s="22">
        <v>45951.0</v>
      </c>
      <c r="G190" s="7" t="s">
        <v>419</v>
      </c>
      <c r="H190" s="21" t="s">
        <v>420</v>
      </c>
      <c r="I190" s="21" t="s">
        <v>408</v>
      </c>
      <c r="J190" s="6" t="s">
        <v>99</v>
      </c>
    </row>
    <row r="191">
      <c r="A191" s="21" t="s">
        <v>21</v>
      </c>
      <c r="B191" s="21" t="s">
        <v>22</v>
      </c>
      <c r="C191" s="21" t="s">
        <v>23</v>
      </c>
      <c r="D191" s="21" t="s">
        <v>28</v>
      </c>
      <c r="E191" s="21">
        <v>86843.0</v>
      </c>
      <c r="F191" s="22">
        <v>45951.0</v>
      </c>
      <c r="G191" s="7" t="s">
        <v>421</v>
      </c>
      <c r="H191" s="21" t="s">
        <v>422</v>
      </c>
      <c r="I191" s="21" t="s">
        <v>387</v>
      </c>
      <c r="J191" s="6" t="s">
        <v>99</v>
      </c>
    </row>
    <row r="192">
      <c r="A192" s="21" t="s">
        <v>21</v>
      </c>
      <c r="B192" s="21" t="s">
        <v>22</v>
      </c>
      <c r="C192" s="21" t="s">
        <v>23</v>
      </c>
      <c r="D192" s="21" t="s">
        <v>28</v>
      </c>
      <c r="E192" s="21">
        <v>86843.0</v>
      </c>
      <c r="F192" s="22">
        <v>45953.0</v>
      </c>
      <c r="G192" s="7" t="s">
        <v>423</v>
      </c>
      <c r="H192" s="21" t="s">
        <v>422</v>
      </c>
      <c r="I192" s="21" t="s">
        <v>391</v>
      </c>
      <c r="J192" s="6" t="s">
        <v>99</v>
      </c>
    </row>
    <row r="193">
      <c r="A193" s="21" t="s">
        <v>21</v>
      </c>
      <c r="B193" s="21" t="s">
        <v>22</v>
      </c>
      <c r="C193" s="21" t="s">
        <v>23</v>
      </c>
      <c r="D193" s="21" t="s">
        <v>28</v>
      </c>
      <c r="E193" s="21">
        <v>86843.0</v>
      </c>
      <c r="F193" s="22">
        <v>45954.0</v>
      </c>
      <c r="G193" s="7" t="s">
        <v>424</v>
      </c>
      <c r="H193" s="21" t="s">
        <v>422</v>
      </c>
      <c r="I193" s="21" t="s">
        <v>391</v>
      </c>
      <c r="J193" s="6" t="s">
        <v>99</v>
      </c>
    </row>
    <row r="194">
      <c r="A194" s="21" t="s">
        <v>21</v>
      </c>
      <c r="B194" s="21" t="s">
        <v>22</v>
      </c>
      <c r="C194" s="21" t="s">
        <v>23</v>
      </c>
      <c r="D194" s="21" t="s">
        <v>28</v>
      </c>
      <c r="E194" s="21">
        <v>86843.0</v>
      </c>
      <c r="F194" s="22">
        <v>45957.0</v>
      </c>
      <c r="G194" s="7" t="s">
        <v>425</v>
      </c>
      <c r="H194" s="21" t="s">
        <v>422</v>
      </c>
      <c r="I194" s="21" t="s">
        <v>382</v>
      </c>
      <c r="J194" s="6" t="s">
        <v>99</v>
      </c>
    </row>
    <row r="195">
      <c r="A195" s="21" t="s">
        <v>21</v>
      </c>
      <c r="B195" s="21" t="s">
        <v>22</v>
      </c>
      <c r="C195" s="21" t="s">
        <v>23</v>
      </c>
      <c r="D195" s="21" t="s">
        <v>28</v>
      </c>
      <c r="E195" s="21">
        <v>86843.0</v>
      </c>
      <c r="F195" s="22">
        <v>45925.0</v>
      </c>
      <c r="G195" s="7" t="s">
        <v>426</v>
      </c>
      <c r="H195" s="21" t="s">
        <v>398</v>
      </c>
      <c r="I195" s="21" t="s">
        <v>306</v>
      </c>
      <c r="J195" s="6" t="s">
        <v>99</v>
      </c>
    </row>
    <row r="196">
      <c r="A196" s="21" t="s">
        <v>21</v>
      </c>
      <c r="B196" s="21" t="s">
        <v>22</v>
      </c>
      <c r="C196" s="21" t="s">
        <v>23</v>
      </c>
      <c r="D196" s="21" t="s">
        <v>28</v>
      </c>
      <c r="E196" s="21">
        <v>86843.0</v>
      </c>
      <c r="F196" s="22">
        <v>45967.0</v>
      </c>
      <c r="G196" s="7" t="s">
        <v>427</v>
      </c>
      <c r="H196" s="21" t="s">
        <v>428</v>
      </c>
      <c r="I196" s="21" t="s">
        <v>429</v>
      </c>
      <c r="J196" s="6" t="s">
        <v>99</v>
      </c>
    </row>
    <row r="197">
      <c r="A197" s="21" t="s">
        <v>21</v>
      </c>
      <c r="B197" s="21" t="s">
        <v>22</v>
      </c>
      <c r="C197" s="21" t="s">
        <v>23</v>
      </c>
      <c r="D197" s="21" t="s">
        <v>28</v>
      </c>
      <c r="E197" s="21">
        <v>86843.0</v>
      </c>
      <c r="F197" s="22">
        <v>45971.0</v>
      </c>
      <c r="G197" s="7" t="s">
        <v>430</v>
      </c>
      <c r="H197" s="21" t="s">
        <v>431</v>
      </c>
      <c r="I197" s="21"/>
      <c r="J197" s="6" t="s">
        <v>99</v>
      </c>
    </row>
    <row r="198">
      <c r="A198" s="21" t="s">
        <v>21</v>
      </c>
      <c r="B198" s="21" t="s">
        <v>22</v>
      </c>
      <c r="C198" s="21" t="s">
        <v>23</v>
      </c>
      <c r="D198" s="21" t="s">
        <v>28</v>
      </c>
      <c r="E198" s="21">
        <v>86843.0</v>
      </c>
      <c r="F198" s="22">
        <v>45972.0</v>
      </c>
      <c r="G198" s="7" t="s">
        <v>432</v>
      </c>
      <c r="H198" s="21" t="s">
        <v>431</v>
      </c>
      <c r="I198" s="21" t="s">
        <v>433</v>
      </c>
      <c r="J198" s="6" t="s">
        <v>99</v>
      </c>
    </row>
    <row r="199">
      <c r="A199" s="21" t="s">
        <v>21</v>
      </c>
      <c r="B199" s="21" t="s">
        <v>22</v>
      </c>
      <c r="C199" s="21" t="s">
        <v>23</v>
      </c>
      <c r="D199" s="21" t="s">
        <v>28</v>
      </c>
      <c r="E199" s="21">
        <v>86843.0</v>
      </c>
      <c r="F199" s="22">
        <v>45974.0</v>
      </c>
      <c r="G199" s="7" t="s">
        <v>434</v>
      </c>
      <c r="H199" s="21" t="s">
        <v>431</v>
      </c>
      <c r="I199" s="21" t="s">
        <v>433</v>
      </c>
      <c r="J199" s="6" t="s">
        <v>99</v>
      </c>
    </row>
    <row r="200">
      <c r="A200" s="21" t="s">
        <v>21</v>
      </c>
      <c r="B200" s="21" t="s">
        <v>22</v>
      </c>
      <c r="C200" s="21" t="s">
        <v>23</v>
      </c>
      <c r="D200" s="21" t="s">
        <v>28</v>
      </c>
      <c r="E200" s="21">
        <v>86843.0</v>
      </c>
      <c r="F200" s="22">
        <v>45975.0</v>
      </c>
      <c r="G200" s="7" t="s">
        <v>435</v>
      </c>
      <c r="H200" s="21" t="s">
        <v>431</v>
      </c>
      <c r="I200" s="21" t="s">
        <v>436</v>
      </c>
      <c r="J200" s="6" t="s">
        <v>99</v>
      </c>
    </row>
    <row r="201">
      <c r="A201" s="21" t="s">
        <v>21</v>
      </c>
      <c r="B201" s="21" t="s">
        <v>22</v>
      </c>
      <c r="C201" s="21" t="s">
        <v>32</v>
      </c>
      <c r="D201" s="21" t="s">
        <v>33</v>
      </c>
      <c r="E201" s="21">
        <v>86901.0</v>
      </c>
      <c r="F201" s="22">
        <v>45975.0</v>
      </c>
      <c r="G201" s="7" t="s">
        <v>437</v>
      </c>
      <c r="H201" s="21" t="s">
        <v>422</v>
      </c>
      <c r="I201" s="21" t="s">
        <v>295</v>
      </c>
      <c r="J201" s="6" t="s">
        <v>99</v>
      </c>
    </row>
    <row r="202">
      <c r="A202" s="21" t="s">
        <v>21</v>
      </c>
      <c r="B202" s="21" t="s">
        <v>22</v>
      </c>
      <c r="C202" s="21" t="s">
        <v>23</v>
      </c>
      <c r="D202" s="21" t="s">
        <v>28</v>
      </c>
      <c r="E202" s="21">
        <v>86843.0</v>
      </c>
      <c r="F202" s="22">
        <v>45978.0</v>
      </c>
      <c r="G202" s="7" t="s">
        <v>438</v>
      </c>
      <c r="H202" s="21" t="s">
        <v>416</v>
      </c>
      <c r="I202" s="21" t="s">
        <v>272</v>
      </c>
      <c r="J202" s="6" t="s">
        <v>99</v>
      </c>
    </row>
    <row r="203">
      <c r="A203" s="21" t="s">
        <v>21</v>
      </c>
      <c r="B203" s="21" t="s">
        <v>22</v>
      </c>
      <c r="C203" s="21" t="s">
        <v>23</v>
      </c>
      <c r="D203" s="21" t="s">
        <v>28</v>
      </c>
      <c r="E203" s="21">
        <v>86843.0</v>
      </c>
      <c r="F203" s="22">
        <v>45979.0</v>
      </c>
      <c r="G203" s="7" t="s">
        <v>439</v>
      </c>
      <c r="H203" s="21" t="s">
        <v>440</v>
      </c>
      <c r="I203" s="21" t="s">
        <v>171</v>
      </c>
      <c r="J203" s="6" t="s">
        <v>99</v>
      </c>
    </row>
    <row r="204">
      <c r="A204" s="21" t="s">
        <v>21</v>
      </c>
      <c r="B204" s="21" t="s">
        <v>22</v>
      </c>
      <c r="C204" s="21" t="s">
        <v>32</v>
      </c>
      <c r="D204" s="21" t="s">
        <v>33</v>
      </c>
      <c r="E204" s="21">
        <v>86901.0</v>
      </c>
      <c r="F204" s="22">
        <v>45979.0</v>
      </c>
      <c r="G204" s="7" t="s">
        <v>439</v>
      </c>
      <c r="H204" s="21" t="s">
        <v>440</v>
      </c>
      <c r="I204" s="21" t="s">
        <v>408</v>
      </c>
      <c r="J204" s="6" t="s">
        <v>99</v>
      </c>
    </row>
    <row r="205">
      <c r="A205" s="21" t="s">
        <v>21</v>
      </c>
      <c r="B205" s="21" t="s">
        <v>22</v>
      </c>
      <c r="C205" s="21" t="s">
        <v>32</v>
      </c>
      <c r="D205" s="21" t="s">
        <v>33</v>
      </c>
      <c r="E205" s="21">
        <v>86901.0</v>
      </c>
      <c r="F205" s="22">
        <v>45982.0</v>
      </c>
      <c r="G205" s="7" t="s">
        <v>441</v>
      </c>
      <c r="H205" s="21" t="s">
        <v>431</v>
      </c>
      <c r="I205" s="21" t="s">
        <v>292</v>
      </c>
      <c r="J205" s="6" t="s">
        <v>99</v>
      </c>
    </row>
    <row r="206">
      <c r="A206" s="21" t="s">
        <v>21</v>
      </c>
      <c r="B206" s="21" t="s">
        <v>22</v>
      </c>
      <c r="C206" s="21" t="s">
        <v>23</v>
      </c>
      <c r="D206" s="21" t="s">
        <v>28</v>
      </c>
      <c r="E206" s="21">
        <v>86843.0</v>
      </c>
      <c r="F206" s="22">
        <v>45986.0</v>
      </c>
      <c r="G206" s="7" t="s">
        <v>442</v>
      </c>
      <c r="H206" s="21" t="s">
        <v>443</v>
      </c>
      <c r="I206" s="21" t="s">
        <v>444</v>
      </c>
      <c r="J206" s="6" t="s">
        <v>99</v>
      </c>
    </row>
    <row r="207">
      <c r="A207" s="21" t="s">
        <v>21</v>
      </c>
      <c r="B207" s="21" t="s">
        <v>22</v>
      </c>
      <c r="C207" s="21" t="s">
        <v>23</v>
      </c>
      <c r="D207" s="21" t="s">
        <v>28</v>
      </c>
      <c r="E207" s="21">
        <v>86843.0</v>
      </c>
      <c r="F207" s="22">
        <v>45986.0</v>
      </c>
      <c r="G207" s="7" t="s">
        <v>445</v>
      </c>
      <c r="H207" s="21" t="s">
        <v>443</v>
      </c>
      <c r="I207" s="21" t="s">
        <v>444</v>
      </c>
      <c r="J207" s="6" t="s">
        <v>99</v>
      </c>
    </row>
    <row r="208">
      <c r="A208" s="21" t="s">
        <v>21</v>
      </c>
      <c r="B208" s="21" t="s">
        <v>22</v>
      </c>
      <c r="C208" s="21" t="s">
        <v>23</v>
      </c>
      <c r="D208" s="21" t="s">
        <v>28</v>
      </c>
      <c r="E208" s="21">
        <v>86843.0</v>
      </c>
      <c r="F208" s="22">
        <v>45987.0</v>
      </c>
      <c r="G208" s="7" t="s">
        <v>446</v>
      </c>
      <c r="H208" s="21" t="s">
        <v>447</v>
      </c>
      <c r="I208" s="21" t="s">
        <v>171</v>
      </c>
      <c r="J208" s="6" t="s">
        <v>99</v>
      </c>
    </row>
    <row r="209">
      <c r="A209" s="21" t="s">
        <v>21</v>
      </c>
      <c r="B209" s="21" t="s">
        <v>22</v>
      </c>
      <c r="C209" s="21" t="s">
        <v>32</v>
      </c>
      <c r="D209" s="21" t="s">
        <v>33</v>
      </c>
      <c r="E209" s="21">
        <v>86901.0</v>
      </c>
      <c r="F209" s="22">
        <v>45987.0</v>
      </c>
      <c r="G209" s="7" t="s">
        <v>446</v>
      </c>
      <c r="H209" s="21" t="s">
        <v>447</v>
      </c>
      <c r="I209" s="21" t="s">
        <v>408</v>
      </c>
      <c r="J209" s="6" t="s">
        <v>99</v>
      </c>
    </row>
    <row r="210">
      <c r="A210" s="21" t="s">
        <v>21</v>
      </c>
      <c r="B210" s="21" t="s">
        <v>22</v>
      </c>
      <c r="C210" s="21" t="s">
        <v>23</v>
      </c>
      <c r="D210" s="21" t="s">
        <v>28</v>
      </c>
      <c r="E210" s="21">
        <v>86843.0</v>
      </c>
      <c r="F210" s="22">
        <v>45988.0</v>
      </c>
      <c r="G210" s="7" t="s">
        <v>448</v>
      </c>
      <c r="H210" s="21" t="s">
        <v>443</v>
      </c>
      <c r="I210" s="21" t="s">
        <v>306</v>
      </c>
      <c r="J210" s="6" t="s">
        <v>99</v>
      </c>
    </row>
    <row r="211">
      <c r="A211" s="21" t="s">
        <v>21</v>
      </c>
      <c r="B211" s="21" t="s">
        <v>22</v>
      </c>
      <c r="C211" s="21" t="s">
        <v>32</v>
      </c>
      <c r="D211" s="21" t="s">
        <v>33</v>
      </c>
      <c r="E211" s="21">
        <v>86901.0</v>
      </c>
      <c r="F211" s="22">
        <v>45992.0</v>
      </c>
      <c r="G211" s="7" t="s">
        <v>449</v>
      </c>
      <c r="H211" s="21" t="s">
        <v>443</v>
      </c>
      <c r="I211" s="21" t="s">
        <v>450</v>
      </c>
      <c r="J211" s="6" t="s">
        <v>99</v>
      </c>
    </row>
    <row r="212">
      <c r="A212" s="21" t="s">
        <v>51</v>
      </c>
      <c r="B212" s="21" t="s">
        <v>52</v>
      </c>
      <c r="C212" s="21" t="s">
        <v>73</v>
      </c>
      <c r="D212" s="21" t="s">
        <v>74</v>
      </c>
      <c r="E212" s="21" t="s">
        <v>72</v>
      </c>
      <c r="F212" s="22">
        <v>45884.0</v>
      </c>
      <c r="G212" s="7" t="s">
        <v>451</v>
      </c>
      <c r="H212" s="21" t="s">
        <v>452</v>
      </c>
      <c r="I212" s="21" t="s">
        <v>453</v>
      </c>
      <c r="J212" s="6" t="s">
        <v>101</v>
      </c>
    </row>
    <row r="213">
      <c r="A213" s="21" t="s">
        <v>51</v>
      </c>
      <c r="B213" s="21" t="s">
        <v>52</v>
      </c>
      <c r="C213" s="21" t="s">
        <v>73</v>
      </c>
      <c r="D213" s="21" t="s">
        <v>74</v>
      </c>
      <c r="E213" s="21" t="s">
        <v>72</v>
      </c>
      <c r="F213" s="22">
        <v>45891.0</v>
      </c>
      <c r="G213" s="7" t="s">
        <v>454</v>
      </c>
      <c r="H213" s="21" t="s">
        <v>455</v>
      </c>
      <c r="I213" s="21" t="s">
        <v>456</v>
      </c>
      <c r="J213" s="6" t="s">
        <v>101</v>
      </c>
    </row>
    <row r="214">
      <c r="A214" s="21" t="s">
        <v>51</v>
      </c>
      <c r="B214" s="21" t="s">
        <v>52</v>
      </c>
      <c r="C214" s="21" t="s">
        <v>73</v>
      </c>
      <c r="D214" s="21" t="s">
        <v>74</v>
      </c>
      <c r="E214" s="21" t="s">
        <v>72</v>
      </c>
      <c r="F214" s="22">
        <v>45910.0</v>
      </c>
      <c r="G214" s="7" t="s">
        <v>457</v>
      </c>
      <c r="H214" s="21" t="s">
        <v>458</v>
      </c>
      <c r="I214" s="21" t="s">
        <v>459</v>
      </c>
      <c r="J214" s="6" t="s">
        <v>101</v>
      </c>
    </row>
    <row r="215">
      <c r="A215" s="21" t="s">
        <v>51</v>
      </c>
      <c r="B215" s="21" t="s">
        <v>52</v>
      </c>
      <c r="C215" s="21" t="s">
        <v>73</v>
      </c>
      <c r="D215" s="21" t="s">
        <v>74</v>
      </c>
      <c r="E215" s="21" t="s">
        <v>72</v>
      </c>
      <c r="F215" s="22">
        <v>45919.0</v>
      </c>
      <c r="G215" s="7" t="s">
        <v>460</v>
      </c>
      <c r="H215" s="21" t="s">
        <v>461</v>
      </c>
      <c r="I215" s="21" t="s">
        <v>462</v>
      </c>
      <c r="J215" s="6" t="s">
        <v>101</v>
      </c>
    </row>
    <row r="216">
      <c r="A216" s="21" t="s">
        <v>51</v>
      </c>
      <c r="B216" s="21" t="s">
        <v>52</v>
      </c>
      <c r="C216" s="21" t="s">
        <v>73</v>
      </c>
      <c r="D216" s="21" t="s">
        <v>74</v>
      </c>
      <c r="E216" s="21" t="s">
        <v>72</v>
      </c>
      <c r="F216" s="22">
        <v>45975.0</v>
      </c>
      <c r="G216" s="7" t="s">
        <v>463</v>
      </c>
      <c r="H216" s="21" t="s">
        <v>464</v>
      </c>
      <c r="I216" s="21" t="s">
        <v>465</v>
      </c>
      <c r="J216" s="6" t="s">
        <v>101</v>
      </c>
    </row>
    <row r="217">
      <c r="A217" s="21" t="s">
        <v>51</v>
      </c>
      <c r="B217" s="21" t="s">
        <v>52</v>
      </c>
      <c r="C217" s="21" t="s">
        <v>73</v>
      </c>
      <c r="D217" s="21" t="s">
        <v>74</v>
      </c>
      <c r="E217" s="21" t="s">
        <v>72</v>
      </c>
      <c r="F217" s="22">
        <v>45982.0</v>
      </c>
      <c r="G217" s="7" t="s">
        <v>466</v>
      </c>
      <c r="H217" s="21" t="s">
        <v>467</v>
      </c>
      <c r="I217" s="21" t="s">
        <v>465</v>
      </c>
      <c r="J217" s="6" t="s">
        <v>101</v>
      </c>
    </row>
    <row r="218">
      <c r="A218" s="21" t="s">
        <v>51</v>
      </c>
      <c r="B218" s="21" t="s">
        <v>52</v>
      </c>
      <c r="C218" s="21" t="s">
        <v>73</v>
      </c>
      <c r="D218" s="21" t="s">
        <v>74</v>
      </c>
      <c r="E218" s="21" t="s">
        <v>72</v>
      </c>
      <c r="F218" s="22">
        <v>45895.0</v>
      </c>
      <c r="G218" s="7" t="s">
        <v>468</v>
      </c>
      <c r="H218" s="21" t="s">
        <v>452</v>
      </c>
      <c r="I218" s="21" t="s">
        <v>469</v>
      </c>
      <c r="J218" s="6" t="s">
        <v>101</v>
      </c>
    </row>
    <row r="219">
      <c r="A219" s="21" t="s">
        <v>51</v>
      </c>
      <c r="B219" s="21" t="s">
        <v>52</v>
      </c>
      <c r="C219" s="21" t="s">
        <v>73</v>
      </c>
      <c r="D219" s="21" t="s">
        <v>74</v>
      </c>
      <c r="E219" s="21" t="s">
        <v>72</v>
      </c>
      <c r="F219" s="22">
        <v>45972.0</v>
      </c>
      <c r="G219" s="7" t="s">
        <v>470</v>
      </c>
      <c r="H219" s="21" t="s">
        <v>464</v>
      </c>
      <c r="I219" s="21" t="s">
        <v>469</v>
      </c>
      <c r="J219" s="6" t="s">
        <v>101</v>
      </c>
    </row>
    <row r="220">
      <c r="A220" s="21" t="s">
        <v>51</v>
      </c>
      <c r="B220" s="21" t="s">
        <v>52</v>
      </c>
      <c r="C220" s="21" t="s">
        <v>73</v>
      </c>
      <c r="D220" s="21" t="s">
        <v>74</v>
      </c>
      <c r="E220" s="21" t="s">
        <v>72</v>
      </c>
      <c r="F220" s="22">
        <v>45887.0</v>
      </c>
      <c r="G220" s="7" t="s">
        <v>451</v>
      </c>
      <c r="H220" s="21" t="s">
        <v>452</v>
      </c>
      <c r="I220" s="21" t="s">
        <v>471</v>
      </c>
      <c r="J220" s="6" t="s">
        <v>101</v>
      </c>
    </row>
    <row r="221">
      <c r="A221" s="21" t="s">
        <v>51</v>
      </c>
      <c r="B221" s="21" t="s">
        <v>52</v>
      </c>
      <c r="C221" s="21" t="s">
        <v>73</v>
      </c>
      <c r="D221" s="21" t="s">
        <v>74</v>
      </c>
      <c r="E221" s="21" t="s">
        <v>72</v>
      </c>
      <c r="F221" s="22">
        <v>45894.0</v>
      </c>
      <c r="G221" s="7" t="s">
        <v>454</v>
      </c>
      <c r="H221" s="21" t="s">
        <v>455</v>
      </c>
      <c r="I221" s="21" t="s">
        <v>472</v>
      </c>
      <c r="J221" s="6" t="s">
        <v>101</v>
      </c>
    </row>
    <row r="222">
      <c r="A222" s="21" t="s">
        <v>51</v>
      </c>
      <c r="B222" s="21" t="s">
        <v>52</v>
      </c>
      <c r="C222" s="21" t="s">
        <v>73</v>
      </c>
      <c r="D222" s="21" t="s">
        <v>74</v>
      </c>
      <c r="E222" s="21" t="s">
        <v>72</v>
      </c>
      <c r="F222" s="22">
        <v>45908.0</v>
      </c>
      <c r="G222" s="7" t="s">
        <v>473</v>
      </c>
      <c r="H222" s="21" t="s">
        <v>458</v>
      </c>
      <c r="I222" s="21" t="s">
        <v>474</v>
      </c>
      <c r="J222" s="6" t="s">
        <v>101</v>
      </c>
    </row>
    <row r="223">
      <c r="A223" s="21" t="s">
        <v>51</v>
      </c>
      <c r="B223" s="21" t="s">
        <v>52</v>
      </c>
      <c r="C223" s="21" t="s">
        <v>73</v>
      </c>
      <c r="D223" s="21" t="s">
        <v>74</v>
      </c>
      <c r="E223" s="21" t="s">
        <v>72</v>
      </c>
      <c r="F223" s="22">
        <v>45908.0</v>
      </c>
      <c r="G223" s="7" t="s">
        <v>475</v>
      </c>
      <c r="H223" s="21" t="s">
        <v>461</v>
      </c>
      <c r="I223" s="21" t="s">
        <v>476</v>
      </c>
      <c r="J223" s="6" t="s">
        <v>101</v>
      </c>
    </row>
    <row r="224">
      <c r="A224" s="21" t="s">
        <v>51</v>
      </c>
      <c r="B224" s="21" t="s">
        <v>52</v>
      </c>
      <c r="C224" s="21" t="s">
        <v>73</v>
      </c>
      <c r="D224" s="21" t="s">
        <v>74</v>
      </c>
      <c r="E224" s="21" t="s">
        <v>72</v>
      </c>
      <c r="F224" s="22">
        <v>45973.0</v>
      </c>
      <c r="G224" s="7" t="s">
        <v>470</v>
      </c>
      <c r="H224" s="21" t="s">
        <v>464</v>
      </c>
      <c r="I224" s="21" t="s">
        <v>471</v>
      </c>
      <c r="J224" s="6" t="s">
        <v>101</v>
      </c>
    </row>
    <row r="225">
      <c r="A225" s="21" t="s">
        <v>51</v>
      </c>
      <c r="B225" s="21" t="s">
        <v>52</v>
      </c>
      <c r="C225" s="21" t="s">
        <v>73</v>
      </c>
      <c r="D225" s="21" t="s">
        <v>74</v>
      </c>
      <c r="E225" s="21" t="s">
        <v>72</v>
      </c>
      <c r="F225" s="22">
        <v>45978.0</v>
      </c>
      <c r="G225" s="7" t="s">
        <v>466</v>
      </c>
      <c r="H225" s="21" t="s">
        <v>467</v>
      </c>
      <c r="I225" s="21" t="s">
        <v>474</v>
      </c>
      <c r="J225" s="6" t="s">
        <v>101</v>
      </c>
    </row>
    <row r="226">
      <c r="A226" s="21" t="s">
        <v>51</v>
      </c>
      <c r="B226" s="21" t="s">
        <v>52</v>
      </c>
      <c r="C226" s="21" t="s">
        <v>73</v>
      </c>
      <c r="D226" s="21" t="s">
        <v>74</v>
      </c>
      <c r="E226" s="21" t="s">
        <v>72</v>
      </c>
      <c r="F226" s="22">
        <v>45881.0</v>
      </c>
      <c r="G226" s="7" t="s">
        <v>477</v>
      </c>
      <c r="H226" s="21" t="s">
        <v>478</v>
      </c>
      <c r="I226" s="21" t="s">
        <v>479</v>
      </c>
      <c r="J226" s="6" t="s">
        <v>101</v>
      </c>
    </row>
    <row r="227">
      <c r="A227" s="21" t="s">
        <v>51</v>
      </c>
      <c r="B227" s="21" t="s">
        <v>52</v>
      </c>
      <c r="C227" s="21" t="s">
        <v>73</v>
      </c>
      <c r="D227" s="21" t="s">
        <v>74</v>
      </c>
      <c r="E227" s="21" t="s">
        <v>72</v>
      </c>
      <c r="F227" s="22">
        <v>45896.0</v>
      </c>
      <c r="G227" s="7" t="s">
        <v>480</v>
      </c>
      <c r="H227" s="21" t="s">
        <v>481</v>
      </c>
      <c r="I227" s="21" t="s">
        <v>482</v>
      </c>
      <c r="J227" s="6" t="s">
        <v>101</v>
      </c>
    </row>
    <row r="228">
      <c r="A228" s="21" t="s">
        <v>51</v>
      </c>
      <c r="B228" s="21" t="s">
        <v>52</v>
      </c>
      <c r="C228" s="21" t="s">
        <v>73</v>
      </c>
      <c r="D228" s="21" t="s">
        <v>74</v>
      </c>
      <c r="E228" s="21" t="s">
        <v>72</v>
      </c>
      <c r="F228" s="22">
        <v>45922.0</v>
      </c>
      <c r="G228" s="7" t="s">
        <v>483</v>
      </c>
      <c r="H228" s="21" t="s">
        <v>484</v>
      </c>
      <c r="I228" s="21" t="s">
        <v>485</v>
      </c>
      <c r="J228" s="6" t="s">
        <v>101</v>
      </c>
    </row>
    <row r="229">
      <c r="A229" s="21" t="s">
        <v>51</v>
      </c>
      <c r="B229" s="21" t="s">
        <v>52</v>
      </c>
      <c r="C229" s="21" t="s">
        <v>73</v>
      </c>
      <c r="D229" s="21" t="s">
        <v>74</v>
      </c>
      <c r="E229" s="21" t="s">
        <v>72</v>
      </c>
      <c r="F229" s="22">
        <v>45953.0</v>
      </c>
      <c r="G229" s="7" t="s">
        <v>486</v>
      </c>
      <c r="H229" s="21" t="s">
        <v>487</v>
      </c>
      <c r="I229" s="21" t="s">
        <v>488</v>
      </c>
      <c r="J229" s="6" t="s">
        <v>101</v>
      </c>
    </row>
    <row r="230">
      <c r="A230" s="21" t="s">
        <v>51</v>
      </c>
      <c r="B230" s="21" t="s">
        <v>52</v>
      </c>
      <c r="C230" s="21" t="s">
        <v>73</v>
      </c>
      <c r="D230" s="21" t="s">
        <v>74</v>
      </c>
      <c r="E230" s="21" t="s">
        <v>72</v>
      </c>
      <c r="F230" s="22">
        <v>45930.0</v>
      </c>
      <c r="G230" s="7" t="s">
        <v>489</v>
      </c>
      <c r="H230" s="21" t="s">
        <v>490</v>
      </c>
      <c r="I230" s="21" t="s">
        <v>491</v>
      </c>
      <c r="J230" s="6" t="s">
        <v>101</v>
      </c>
    </row>
    <row r="231">
      <c r="A231" s="21" t="s">
        <v>51</v>
      </c>
      <c r="B231" s="21" t="s">
        <v>52</v>
      </c>
      <c r="C231" s="21" t="s">
        <v>73</v>
      </c>
      <c r="D231" s="21" t="s">
        <v>74</v>
      </c>
      <c r="E231" s="21" t="s">
        <v>72</v>
      </c>
      <c r="F231" s="22">
        <v>45952.0</v>
      </c>
      <c r="G231" s="7" t="s">
        <v>492</v>
      </c>
      <c r="H231" s="21" t="s">
        <v>493</v>
      </c>
      <c r="I231" s="21" t="s">
        <v>494</v>
      </c>
      <c r="J231" s="6" t="s">
        <v>101</v>
      </c>
    </row>
    <row r="232">
      <c r="A232" s="21" t="s">
        <v>51</v>
      </c>
      <c r="B232" s="21" t="s">
        <v>52</v>
      </c>
      <c r="C232" s="21" t="s">
        <v>73</v>
      </c>
      <c r="D232" s="21" t="s">
        <v>74</v>
      </c>
      <c r="E232" s="21" t="s">
        <v>72</v>
      </c>
      <c r="F232" s="22">
        <v>45988.0</v>
      </c>
      <c r="G232" s="7" t="s">
        <v>495</v>
      </c>
      <c r="H232" s="21" t="s">
        <v>496</v>
      </c>
      <c r="I232" s="21" t="s">
        <v>497</v>
      </c>
      <c r="J232" s="6" t="s">
        <v>101</v>
      </c>
    </row>
    <row r="233">
      <c r="A233" s="21" t="s">
        <v>51</v>
      </c>
      <c r="B233" s="21" t="s">
        <v>52</v>
      </c>
      <c r="C233" s="21" t="s">
        <v>73</v>
      </c>
      <c r="D233" s="21" t="s">
        <v>74</v>
      </c>
      <c r="E233" s="21" t="s">
        <v>72</v>
      </c>
      <c r="F233" s="22">
        <v>45943.0</v>
      </c>
      <c r="G233" s="7" t="s">
        <v>498</v>
      </c>
      <c r="H233" s="21" t="s">
        <v>499</v>
      </c>
      <c r="I233" s="21" t="s">
        <v>500</v>
      </c>
      <c r="J233" s="6" t="s">
        <v>101</v>
      </c>
    </row>
    <row r="234">
      <c r="A234" s="21" t="s">
        <v>51</v>
      </c>
      <c r="B234" s="21" t="s">
        <v>52</v>
      </c>
      <c r="C234" s="21" t="s">
        <v>73</v>
      </c>
      <c r="D234" s="21" t="s">
        <v>74</v>
      </c>
      <c r="E234" s="21" t="s">
        <v>72</v>
      </c>
      <c r="F234" s="22">
        <v>45979.0</v>
      </c>
      <c r="G234" s="7" t="s">
        <v>501</v>
      </c>
      <c r="H234" s="21" t="s">
        <v>502</v>
      </c>
      <c r="I234" s="21" t="s">
        <v>500</v>
      </c>
      <c r="J234" s="6" t="s">
        <v>101</v>
      </c>
    </row>
    <row r="235">
      <c r="A235" s="21" t="s">
        <v>51</v>
      </c>
      <c r="B235" s="21" t="s">
        <v>52</v>
      </c>
      <c r="C235" s="21" t="s">
        <v>73</v>
      </c>
      <c r="D235" s="21" t="s">
        <v>74</v>
      </c>
      <c r="E235" s="21" t="s">
        <v>72</v>
      </c>
      <c r="F235" s="22">
        <v>45986.0</v>
      </c>
      <c r="G235" s="7" t="s">
        <v>503</v>
      </c>
      <c r="H235" s="21" t="s">
        <v>493</v>
      </c>
      <c r="I235" s="21" t="s">
        <v>504</v>
      </c>
      <c r="J235" s="6" t="s">
        <v>101</v>
      </c>
    </row>
    <row r="236">
      <c r="A236" s="21" t="s">
        <v>51</v>
      </c>
      <c r="B236" s="21" t="s">
        <v>52</v>
      </c>
      <c r="C236" s="21" t="s">
        <v>59</v>
      </c>
      <c r="D236" s="21" t="s">
        <v>59</v>
      </c>
      <c r="E236" s="21" t="s">
        <v>68</v>
      </c>
      <c r="F236" s="22">
        <v>45863.0</v>
      </c>
      <c r="G236" s="7" t="s">
        <v>451</v>
      </c>
      <c r="H236" s="21" t="s">
        <v>452</v>
      </c>
      <c r="I236" s="21" t="s">
        <v>505</v>
      </c>
      <c r="J236" s="6" t="s">
        <v>101</v>
      </c>
    </row>
    <row r="237">
      <c r="A237" s="21" t="s">
        <v>51</v>
      </c>
      <c r="B237" s="21" t="s">
        <v>52</v>
      </c>
      <c r="C237" s="21" t="s">
        <v>59</v>
      </c>
      <c r="D237" s="21" t="s">
        <v>59</v>
      </c>
      <c r="E237" s="21" t="s">
        <v>68</v>
      </c>
      <c r="F237" s="22">
        <v>45905.0</v>
      </c>
      <c r="G237" s="7" t="s">
        <v>454</v>
      </c>
      <c r="H237" s="21" t="s">
        <v>455</v>
      </c>
      <c r="I237" s="21" t="s">
        <v>505</v>
      </c>
      <c r="J237" s="6" t="s">
        <v>101</v>
      </c>
    </row>
    <row r="238">
      <c r="A238" s="21" t="s">
        <v>51</v>
      </c>
      <c r="B238" s="21" t="s">
        <v>52</v>
      </c>
      <c r="C238" s="21" t="s">
        <v>59</v>
      </c>
      <c r="D238" s="21" t="s">
        <v>59</v>
      </c>
      <c r="E238" s="21" t="s">
        <v>68</v>
      </c>
      <c r="F238" s="22">
        <v>45912.0</v>
      </c>
      <c r="G238" s="7" t="s">
        <v>473</v>
      </c>
      <c r="H238" s="21" t="s">
        <v>458</v>
      </c>
      <c r="I238" s="21" t="s">
        <v>505</v>
      </c>
      <c r="J238" s="6" t="s">
        <v>101</v>
      </c>
    </row>
    <row r="239">
      <c r="A239" s="21" t="s">
        <v>51</v>
      </c>
      <c r="B239" s="21" t="s">
        <v>52</v>
      </c>
      <c r="C239" s="21" t="s">
        <v>59</v>
      </c>
      <c r="D239" s="21" t="s">
        <v>59</v>
      </c>
      <c r="E239" s="21" t="s">
        <v>68</v>
      </c>
      <c r="F239" s="22">
        <v>45968.0</v>
      </c>
      <c r="G239" s="7" t="s">
        <v>475</v>
      </c>
      <c r="H239" s="21" t="s">
        <v>461</v>
      </c>
      <c r="I239" s="21" t="s">
        <v>505</v>
      </c>
      <c r="J239" s="6" t="s">
        <v>101</v>
      </c>
    </row>
    <row r="240">
      <c r="A240" s="21" t="s">
        <v>51</v>
      </c>
      <c r="B240" s="21" t="s">
        <v>52</v>
      </c>
      <c r="C240" s="21" t="s">
        <v>59</v>
      </c>
      <c r="D240" s="21" t="s">
        <v>59</v>
      </c>
      <c r="E240" s="21" t="s">
        <v>68</v>
      </c>
      <c r="F240" s="22">
        <v>45982.0</v>
      </c>
      <c r="G240" s="7" t="s">
        <v>470</v>
      </c>
      <c r="H240" s="21" t="s">
        <v>464</v>
      </c>
      <c r="I240" s="21" t="s">
        <v>506</v>
      </c>
      <c r="J240" s="6" t="s">
        <v>101</v>
      </c>
    </row>
    <row r="241">
      <c r="A241" s="21" t="s">
        <v>51</v>
      </c>
      <c r="B241" s="21" t="s">
        <v>52</v>
      </c>
      <c r="C241" s="21" t="s">
        <v>59</v>
      </c>
      <c r="D241" s="21" t="s">
        <v>59</v>
      </c>
      <c r="E241" s="21" t="s">
        <v>68</v>
      </c>
      <c r="F241" s="22">
        <v>45883.0</v>
      </c>
      <c r="G241" s="7" t="s">
        <v>451</v>
      </c>
      <c r="H241" s="21" t="s">
        <v>452</v>
      </c>
      <c r="I241" s="21" t="s">
        <v>507</v>
      </c>
      <c r="J241" s="6" t="s">
        <v>101</v>
      </c>
    </row>
    <row r="242">
      <c r="A242" s="21" t="s">
        <v>51</v>
      </c>
      <c r="B242" s="21" t="s">
        <v>52</v>
      </c>
      <c r="C242" s="21" t="s">
        <v>59</v>
      </c>
      <c r="D242" s="21" t="s">
        <v>59</v>
      </c>
      <c r="E242" s="21" t="s">
        <v>68</v>
      </c>
      <c r="F242" s="22">
        <v>45890.0</v>
      </c>
      <c r="G242" s="7" t="s">
        <v>508</v>
      </c>
      <c r="H242" s="21" t="s">
        <v>455</v>
      </c>
      <c r="I242" s="21" t="s">
        <v>509</v>
      </c>
      <c r="J242" s="6" t="s">
        <v>101</v>
      </c>
    </row>
    <row r="243">
      <c r="A243" s="21" t="s">
        <v>51</v>
      </c>
      <c r="B243" s="21" t="s">
        <v>52</v>
      </c>
      <c r="C243" s="21" t="s">
        <v>59</v>
      </c>
      <c r="D243" s="21" t="s">
        <v>59</v>
      </c>
      <c r="E243" s="21" t="s">
        <v>68</v>
      </c>
      <c r="F243" s="22">
        <v>45911.0</v>
      </c>
      <c r="G243" s="7" t="s">
        <v>473</v>
      </c>
      <c r="H243" s="21" t="s">
        <v>458</v>
      </c>
      <c r="I243" s="21" t="s">
        <v>509</v>
      </c>
      <c r="J243" s="6" t="s">
        <v>101</v>
      </c>
    </row>
    <row r="244">
      <c r="A244" s="21" t="s">
        <v>51</v>
      </c>
      <c r="B244" s="21" t="s">
        <v>52</v>
      </c>
      <c r="C244" s="21" t="s">
        <v>59</v>
      </c>
      <c r="D244" s="21" t="s">
        <v>59</v>
      </c>
      <c r="E244" s="21" t="s">
        <v>68</v>
      </c>
      <c r="F244" s="22">
        <v>45918.0</v>
      </c>
      <c r="G244" s="7" t="s">
        <v>475</v>
      </c>
      <c r="H244" s="21" t="s">
        <v>461</v>
      </c>
      <c r="I244" s="21" t="s">
        <v>509</v>
      </c>
      <c r="J244" s="6" t="s">
        <v>101</v>
      </c>
    </row>
    <row r="245">
      <c r="A245" s="21" t="s">
        <v>51</v>
      </c>
      <c r="B245" s="21" t="s">
        <v>52</v>
      </c>
      <c r="C245" s="21" t="s">
        <v>59</v>
      </c>
      <c r="D245" s="21" t="s">
        <v>59</v>
      </c>
      <c r="E245" s="21" t="s">
        <v>68</v>
      </c>
      <c r="F245" s="22">
        <v>45981.0</v>
      </c>
      <c r="G245" s="7" t="s">
        <v>470</v>
      </c>
      <c r="H245" s="21" t="s">
        <v>464</v>
      </c>
      <c r="I245" s="21" t="s">
        <v>509</v>
      </c>
      <c r="J245" s="6" t="s">
        <v>101</v>
      </c>
    </row>
    <row r="246">
      <c r="A246" s="21" t="s">
        <v>51</v>
      </c>
      <c r="B246" s="21" t="s">
        <v>52</v>
      </c>
      <c r="C246" s="21" t="s">
        <v>59</v>
      </c>
      <c r="D246" s="21" t="s">
        <v>59</v>
      </c>
      <c r="E246" s="21" t="s">
        <v>68</v>
      </c>
      <c r="F246" s="22">
        <v>45863.0</v>
      </c>
      <c r="G246" s="7" t="s">
        <v>451</v>
      </c>
      <c r="H246" s="21" t="s">
        <v>452</v>
      </c>
      <c r="I246" s="21" t="s">
        <v>510</v>
      </c>
      <c r="J246" s="6" t="s">
        <v>101</v>
      </c>
    </row>
    <row r="247">
      <c r="A247" s="21" t="s">
        <v>51</v>
      </c>
      <c r="B247" s="21" t="s">
        <v>52</v>
      </c>
      <c r="C247" s="21" t="s">
        <v>59</v>
      </c>
      <c r="D247" s="21" t="s">
        <v>59</v>
      </c>
      <c r="E247" s="21" t="s">
        <v>68</v>
      </c>
      <c r="F247" s="22">
        <v>45905.0</v>
      </c>
      <c r="G247" s="7" t="s">
        <v>454</v>
      </c>
      <c r="H247" s="21" t="s">
        <v>455</v>
      </c>
      <c r="I247" s="21" t="s">
        <v>511</v>
      </c>
      <c r="J247" s="6" t="s">
        <v>101</v>
      </c>
    </row>
    <row r="248">
      <c r="A248" s="21" t="s">
        <v>51</v>
      </c>
      <c r="B248" s="21" t="s">
        <v>52</v>
      </c>
      <c r="C248" s="21" t="s">
        <v>59</v>
      </c>
      <c r="D248" s="21" t="s">
        <v>59</v>
      </c>
      <c r="E248" s="21" t="s">
        <v>68</v>
      </c>
      <c r="F248" s="22">
        <v>45926.0</v>
      </c>
      <c r="G248" s="7" t="s">
        <v>473</v>
      </c>
      <c r="H248" s="21" t="s">
        <v>458</v>
      </c>
      <c r="I248" s="21" t="s">
        <v>511</v>
      </c>
      <c r="J248" s="6" t="s">
        <v>101</v>
      </c>
    </row>
    <row r="249">
      <c r="A249" s="21" t="s">
        <v>51</v>
      </c>
      <c r="B249" s="21" t="s">
        <v>52</v>
      </c>
      <c r="C249" s="21" t="s">
        <v>59</v>
      </c>
      <c r="D249" s="21" t="s">
        <v>59</v>
      </c>
      <c r="E249" s="21" t="s">
        <v>68</v>
      </c>
      <c r="F249" s="22">
        <v>45940.0</v>
      </c>
      <c r="G249" s="7" t="s">
        <v>512</v>
      </c>
      <c r="H249" s="21" t="s">
        <v>461</v>
      </c>
      <c r="I249" s="21" t="s">
        <v>510</v>
      </c>
      <c r="J249" s="6" t="s">
        <v>101</v>
      </c>
    </row>
    <row r="250">
      <c r="A250" s="21" t="s">
        <v>51</v>
      </c>
      <c r="B250" s="21" t="s">
        <v>52</v>
      </c>
      <c r="C250" s="21" t="s">
        <v>59</v>
      </c>
      <c r="D250" s="21" t="s">
        <v>59</v>
      </c>
      <c r="E250" s="21" t="s">
        <v>68</v>
      </c>
      <c r="F250" s="22">
        <v>45982.0</v>
      </c>
      <c r="G250" s="7" t="s">
        <v>513</v>
      </c>
      <c r="H250" s="21" t="s">
        <v>464</v>
      </c>
      <c r="I250" s="21" t="s">
        <v>514</v>
      </c>
      <c r="J250" s="6" t="s">
        <v>101</v>
      </c>
    </row>
    <row r="251">
      <c r="A251" s="21" t="s">
        <v>51</v>
      </c>
      <c r="B251" s="21" t="s">
        <v>52</v>
      </c>
      <c r="C251" s="21" t="s">
        <v>59</v>
      </c>
      <c r="D251" s="21" t="s">
        <v>59</v>
      </c>
      <c r="E251" s="21" t="s">
        <v>68</v>
      </c>
      <c r="F251" s="22">
        <v>45918.0</v>
      </c>
      <c r="G251" s="7" t="s">
        <v>480</v>
      </c>
      <c r="H251" s="21" t="s">
        <v>481</v>
      </c>
      <c r="I251" s="21" t="s">
        <v>488</v>
      </c>
      <c r="J251" s="6" t="s">
        <v>101</v>
      </c>
    </row>
    <row r="252">
      <c r="A252" s="21" t="s">
        <v>51</v>
      </c>
      <c r="B252" s="21" t="s">
        <v>52</v>
      </c>
      <c r="C252" s="21" t="s">
        <v>59</v>
      </c>
      <c r="D252" s="21" t="s">
        <v>59</v>
      </c>
      <c r="E252" s="21" t="s">
        <v>68</v>
      </c>
      <c r="F252" s="22">
        <v>45960.0</v>
      </c>
      <c r="G252" s="7" t="s">
        <v>483</v>
      </c>
      <c r="H252" s="21" t="s">
        <v>515</v>
      </c>
      <c r="I252" s="21" t="s">
        <v>516</v>
      </c>
      <c r="J252" s="6" t="s">
        <v>101</v>
      </c>
    </row>
    <row r="253">
      <c r="A253" s="21" t="s">
        <v>51</v>
      </c>
      <c r="B253" s="21" t="s">
        <v>52</v>
      </c>
      <c r="C253" s="21" t="s">
        <v>59</v>
      </c>
      <c r="D253" s="21" t="s">
        <v>59</v>
      </c>
      <c r="E253" s="21" t="s">
        <v>68</v>
      </c>
      <c r="F253" s="22">
        <v>45995.0</v>
      </c>
      <c r="G253" s="7" t="s">
        <v>486</v>
      </c>
      <c r="H253" s="21" t="s">
        <v>517</v>
      </c>
      <c r="I253" s="21" t="s">
        <v>518</v>
      </c>
      <c r="J253" s="6" t="s">
        <v>101</v>
      </c>
    </row>
    <row r="254">
      <c r="A254" s="21" t="s">
        <v>51</v>
      </c>
      <c r="B254" s="21" t="s">
        <v>52</v>
      </c>
      <c r="C254" s="21" t="s">
        <v>59</v>
      </c>
      <c r="D254" s="21" t="s">
        <v>59</v>
      </c>
      <c r="E254" s="21" t="s">
        <v>68</v>
      </c>
      <c r="F254" s="22">
        <v>45990.0</v>
      </c>
      <c r="G254" s="7" t="s">
        <v>492</v>
      </c>
      <c r="H254" s="21" t="s">
        <v>493</v>
      </c>
      <c r="I254" s="21" t="s">
        <v>494</v>
      </c>
      <c r="J254" s="6" t="s">
        <v>101</v>
      </c>
    </row>
    <row r="255">
      <c r="A255" s="21" t="s">
        <v>51</v>
      </c>
      <c r="B255" s="21" t="s">
        <v>52</v>
      </c>
      <c r="C255" s="21" t="s">
        <v>59</v>
      </c>
      <c r="D255" s="21" t="s">
        <v>59</v>
      </c>
      <c r="E255" s="21" t="s">
        <v>68</v>
      </c>
      <c r="F255" s="22">
        <v>45923.0</v>
      </c>
      <c r="G255" s="7" t="s">
        <v>489</v>
      </c>
      <c r="H255" s="21" t="s">
        <v>490</v>
      </c>
      <c r="I255" s="21" t="s">
        <v>519</v>
      </c>
      <c r="J255" s="6" t="s">
        <v>101</v>
      </c>
    </row>
    <row r="256">
      <c r="A256" s="21" t="s">
        <v>51</v>
      </c>
      <c r="B256" s="21" t="s">
        <v>52</v>
      </c>
      <c r="C256" s="21" t="s">
        <v>59</v>
      </c>
      <c r="D256" s="21" t="s">
        <v>59</v>
      </c>
      <c r="E256" s="21" t="s">
        <v>68</v>
      </c>
      <c r="F256" s="22">
        <v>45959.0</v>
      </c>
      <c r="G256" s="7" t="s">
        <v>498</v>
      </c>
      <c r="H256" s="21" t="s">
        <v>499</v>
      </c>
      <c r="I256" s="21" t="s">
        <v>520</v>
      </c>
      <c r="J256" s="6" t="s">
        <v>101</v>
      </c>
    </row>
    <row r="257">
      <c r="A257" s="21" t="s">
        <v>51</v>
      </c>
      <c r="B257" s="21" t="s">
        <v>52</v>
      </c>
      <c r="C257" s="21" t="s">
        <v>59</v>
      </c>
      <c r="D257" s="21" t="s">
        <v>59</v>
      </c>
      <c r="E257" s="21" t="s">
        <v>68</v>
      </c>
      <c r="F257" s="22">
        <v>45979.0</v>
      </c>
      <c r="G257" s="7" t="s">
        <v>501</v>
      </c>
      <c r="H257" s="21" t="s">
        <v>502</v>
      </c>
      <c r="I257" s="21" t="s">
        <v>521</v>
      </c>
      <c r="J257" s="6" t="s">
        <v>101</v>
      </c>
    </row>
    <row r="258">
      <c r="A258" s="21" t="s">
        <v>51</v>
      </c>
      <c r="B258" s="21" t="s">
        <v>52</v>
      </c>
      <c r="C258" s="21" t="s">
        <v>59</v>
      </c>
      <c r="D258" s="21" t="s">
        <v>59</v>
      </c>
      <c r="E258" s="21" t="s">
        <v>68</v>
      </c>
      <c r="F258" s="22">
        <v>45990.0</v>
      </c>
      <c r="G258" s="7" t="s">
        <v>503</v>
      </c>
      <c r="H258" s="21" t="s">
        <v>493</v>
      </c>
      <c r="I258" s="21" t="s">
        <v>504</v>
      </c>
      <c r="J258" s="6" t="s">
        <v>101</v>
      </c>
    </row>
    <row r="259">
      <c r="A259" s="21" t="s">
        <v>51</v>
      </c>
      <c r="B259" s="21" t="s">
        <v>52</v>
      </c>
      <c r="C259" s="21" t="s">
        <v>59</v>
      </c>
      <c r="D259" s="21" t="s">
        <v>86</v>
      </c>
      <c r="E259" s="21" t="s">
        <v>85</v>
      </c>
      <c r="F259" s="22">
        <v>45909.0</v>
      </c>
      <c r="G259" s="7" t="s">
        <v>522</v>
      </c>
      <c r="H259" s="21" t="s">
        <v>452</v>
      </c>
      <c r="I259" s="21" t="s">
        <v>523</v>
      </c>
      <c r="J259" s="6" t="s">
        <v>101</v>
      </c>
    </row>
    <row r="260">
      <c r="A260" s="21" t="s">
        <v>51</v>
      </c>
      <c r="B260" s="21" t="s">
        <v>52</v>
      </c>
      <c r="C260" s="21" t="s">
        <v>59</v>
      </c>
      <c r="D260" s="21" t="s">
        <v>86</v>
      </c>
      <c r="E260" s="21" t="s">
        <v>85</v>
      </c>
      <c r="F260" s="22">
        <v>45916.0</v>
      </c>
      <c r="G260" s="7" t="s">
        <v>524</v>
      </c>
      <c r="H260" s="21" t="s">
        <v>458</v>
      </c>
      <c r="I260" s="21" t="s">
        <v>525</v>
      </c>
      <c r="J260" s="6" t="s">
        <v>101</v>
      </c>
    </row>
    <row r="261">
      <c r="A261" s="21" t="s">
        <v>51</v>
      </c>
      <c r="B261" s="21" t="s">
        <v>52</v>
      </c>
      <c r="C261" s="21" t="s">
        <v>59</v>
      </c>
      <c r="D261" s="21" t="s">
        <v>86</v>
      </c>
      <c r="E261" s="21" t="s">
        <v>85</v>
      </c>
      <c r="F261" s="22">
        <v>45930.0</v>
      </c>
      <c r="G261" s="7" t="s">
        <v>512</v>
      </c>
      <c r="H261" s="21" t="s">
        <v>461</v>
      </c>
      <c r="I261" s="21" t="s">
        <v>526</v>
      </c>
      <c r="J261" s="6" t="s">
        <v>101</v>
      </c>
    </row>
    <row r="262">
      <c r="A262" s="21" t="s">
        <v>51</v>
      </c>
      <c r="B262" s="21" t="s">
        <v>52</v>
      </c>
      <c r="C262" s="21" t="s">
        <v>59</v>
      </c>
      <c r="D262" s="21" t="s">
        <v>86</v>
      </c>
      <c r="E262" s="21" t="s">
        <v>85</v>
      </c>
      <c r="F262" s="22">
        <v>45979.0</v>
      </c>
      <c r="G262" s="7" t="s">
        <v>513</v>
      </c>
      <c r="H262" s="21" t="s">
        <v>464</v>
      </c>
      <c r="I262" s="21" t="s">
        <v>523</v>
      </c>
      <c r="J262" s="6" t="s">
        <v>101</v>
      </c>
    </row>
    <row r="263">
      <c r="A263" s="21" t="s">
        <v>51</v>
      </c>
      <c r="B263" s="21" t="s">
        <v>52</v>
      </c>
      <c r="C263" s="21" t="s">
        <v>59</v>
      </c>
      <c r="D263" s="21" t="s">
        <v>86</v>
      </c>
      <c r="E263" s="21" t="s">
        <v>85</v>
      </c>
      <c r="F263" s="22">
        <v>45853.0</v>
      </c>
      <c r="G263" s="7" t="s">
        <v>527</v>
      </c>
      <c r="H263" s="21" t="s">
        <v>452</v>
      </c>
      <c r="I263" s="21" t="s">
        <v>528</v>
      </c>
      <c r="J263" s="6" t="s">
        <v>101</v>
      </c>
    </row>
    <row r="264">
      <c r="A264" s="21" t="s">
        <v>51</v>
      </c>
      <c r="B264" s="21" t="s">
        <v>52</v>
      </c>
      <c r="C264" s="21" t="s">
        <v>59</v>
      </c>
      <c r="D264" s="21" t="s">
        <v>86</v>
      </c>
      <c r="E264" s="21" t="s">
        <v>85</v>
      </c>
      <c r="F264" s="22">
        <v>45909.0</v>
      </c>
      <c r="G264" s="7" t="s">
        <v>508</v>
      </c>
      <c r="H264" s="21" t="s">
        <v>455</v>
      </c>
      <c r="I264" s="21" t="s">
        <v>528</v>
      </c>
      <c r="J264" s="6" t="s">
        <v>101</v>
      </c>
    </row>
    <row r="265">
      <c r="A265" s="21" t="s">
        <v>51</v>
      </c>
      <c r="B265" s="21" t="s">
        <v>52</v>
      </c>
      <c r="C265" s="21" t="s">
        <v>59</v>
      </c>
      <c r="D265" s="21" t="s">
        <v>86</v>
      </c>
      <c r="E265" s="21" t="s">
        <v>85</v>
      </c>
      <c r="F265" s="22">
        <v>45916.0</v>
      </c>
      <c r="G265" s="7" t="s">
        <v>524</v>
      </c>
      <c r="H265" s="21" t="s">
        <v>458</v>
      </c>
      <c r="I265" s="21" t="s">
        <v>528</v>
      </c>
      <c r="J265" s="6" t="s">
        <v>101</v>
      </c>
    </row>
    <row r="266">
      <c r="A266" s="21" t="s">
        <v>51</v>
      </c>
      <c r="B266" s="21" t="s">
        <v>52</v>
      </c>
      <c r="C266" s="21" t="s">
        <v>59</v>
      </c>
      <c r="D266" s="21" t="s">
        <v>86</v>
      </c>
      <c r="E266" s="21" t="s">
        <v>85</v>
      </c>
      <c r="F266" s="22">
        <v>45930.0</v>
      </c>
      <c r="G266" s="7" t="s">
        <v>512</v>
      </c>
      <c r="H266" s="21" t="s">
        <v>461</v>
      </c>
      <c r="I266" s="21" t="s">
        <v>528</v>
      </c>
      <c r="J266" s="6" t="s">
        <v>101</v>
      </c>
    </row>
    <row r="267">
      <c r="A267" s="21" t="s">
        <v>51</v>
      </c>
      <c r="B267" s="21" t="s">
        <v>52</v>
      </c>
      <c r="C267" s="21" t="s">
        <v>59</v>
      </c>
      <c r="D267" s="21" t="s">
        <v>86</v>
      </c>
      <c r="E267" s="21" t="s">
        <v>85</v>
      </c>
      <c r="F267" s="22">
        <v>45979.0</v>
      </c>
      <c r="G267" s="7" t="s">
        <v>513</v>
      </c>
      <c r="H267" s="21" t="s">
        <v>464</v>
      </c>
      <c r="I267" s="21" t="s">
        <v>528</v>
      </c>
      <c r="J267" s="6" t="s">
        <v>101</v>
      </c>
    </row>
    <row r="268">
      <c r="A268" s="21" t="s">
        <v>51</v>
      </c>
      <c r="B268" s="21" t="s">
        <v>52</v>
      </c>
      <c r="C268" s="21" t="s">
        <v>59</v>
      </c>
      <c r="D268" s="21" t="s">
        <v>86</v>
      </c>
      <c r="E268" s="21" t="s">
        <v>85</v>
      </c>
      <c r="F268" s="22">
        <v>45853.0</v>
      </c>
      <c r="G268" s="7" t="s">
        <v>451</v>
      </c>
      <c r="H268" s="21" t="s">
        <v>452</v>
      </c>
      <c r="I268" s="21" t="s">
        <v>529</v>
      </c>
      <c r="J268" s="6" t="s">
        <v>101</v>
      </c>
    </row>
    <row r="269">
      <c r="A269" s="21" t="s">
        <v>51</v>
      </c>
      <c r="B269" s="21" t="s">
        <v>52</v>
      </c>
      <c r="C269" s="21" t="s">
        <v>59</v>
      </c>
      <c r="D269" s="21" t="s">
        <v>86</v>
      </c>
      <c r="E269" s="21" t="s">
        <v>85</v>
      </c>
      <c r="F269" s="22">
        <v>45909.0</v>
      </c>
      <c r="G269" s="7" t="s">
        <v>508</v>
      </c>
      <c r="H269" s="21" t="s">
        <v>455</v>
      </c>
      <c r="I269" s="21" t="s">
        <v>529</v>
      </c>
      <c r="J269" s="6" t="s">
        <v>101</v>
      </c>
    </row>
    <row r="270">
      <c r="A270" s="21" t="s">
        <v>51</v>
      </c>
      <c r="B270" s="21" t="s">
        <v>52</v>
      </c>
      <c r="C270" s="21" t="s">
        <v>59</v>
      </c>
      <c r="D270" s="21" t="s">
        <v>86</v>
      </c>
      <c r="E270" s="21" t="s">
        <v>85</v>
      </c>
      <c r="F270" s="22">
        <v>45916.0</v>
      </c>
      <c r="G270" s="7" t="s">
        <v>524</v>
      </c>
      <c r="H270" s="21" t="s">
        <v>458</v>
      </c>
      <c r="I270" s="21" t="s">
        <v>476</v>
      </c>
      <c r="J270" s="6" t="s">
        <v>101</v>
      </c>
    </row>
    <row r="271">
      <c r="A271" s="21" t="s">
        <v>51</v>
      </c>
      <c r="B271" s="21" t="s">
        <v>52</v>
      </c>
      <c r="C271" s="21" t="s">
        <v>59</v>
      </c>
      <c r="D271" s="21" t="s">
        <v>86</v>
      </c>
      <c r="E271" s="21" t="s">
        <v>85</v>
      </c>
      <c r="F271" s="22">
        <v>45965.0</v>
      </c>
      <c r="G271" s="7" t="s">
        <v>512</v>
      </c>
      <c r="H271" s="21" t="s">
        <v>461</v>
      </c>
      <c r="I271" s="21" t="s">
        <v>472</v>
      </c>
      <c r="J271" s="6" t="s">
        <v>101</v>
      </c>
    </row>
    <row r="272">
      <c r="A272" s="21" t="s">
        <v>51</v>
      </c>
      <c r="B272" s="21" t="s">
        <v>52</v>
      </c>
      <c r="C272" s="21" t="s">
        <v>59</v>
      </c>
      <c r="D272" s="21" t="s">
        <v>86</v>
      </c>
      <c r="E272" s="21" t="s">
        <v>85</v>
      </c>
      <c r="F272" s="22">
        <v>45979.0</v>
      </c>
      <c r="G272" s="7" t="s">
        <v>513</v>
      </c>
      <c r="H272" s="21" t="s">
        <v>464</v>
      </c>
      <c r="I272" s="21" t="s">
        <v>474</v>
      </c>
      <c r="J272" s="6" t="s">
        <v>101</v>
      </c>
    </row>
    <row r="273">
      <c r="A273" s="21" t="s">
        <v>51</v>
      </c>
      <c r="B273" s="21" t="s">
        <v>52</v>
      </c>
      <c r="C273" s="21" t="s">
        <v>59</v>
      </c>
      <c r="D273" s="21" t="s">
        <v>86</v>
      </c>
      <c r="E273" s="21" t="s">
        <v>85</v>
      </c>
      <c r="F273" s="22">
        <v>45839.0</v>
      </c>
      <c r="G273" s="7" t="s">
        <v>477</v>
      </c>
      <c r="H273" s="21" t="s">
        <v>478</v>
      </c>
      <c r="I273" s="21" t="s">
        <v>530</v>
      </c>
      <c r="J273" s="6" t="s">
        <v>101</v>
      </c>
    </row>
    <row r="274">
      <c r="A274" s="21" t="s">
        <v>51</v>
      </c>
      <c r="B274" s="21" t="s">
        <v>52</v>
      </c>
      <c r="C274" s="21" t="s">
        <v>59</v>
      </c>
      <c r="D274" s="21" t="s">
        <v>86</v>
      </c>
      <c r="E274" s="21" t="s">
        <v>85</v>
      </c>
      <c r="F274" s="22">
        <v>45925.0</v>
      </c>
      <c r="G274" s="7" t="s">
        <v>480</v>
      </c>
      <c r="H274" s="21" t="s">
        <v>481</v>
      </c>
      <c r="I274" s="21" t="s">
        <v>531</v>
      </c>
      <c r="J274" s="6" t="s">
        <v>101</v>
      </c>
    </row>
    <row r="275">
      <c r="A275" s="21" t="s">
        <v>51</v>
      </c>
      <c r="B275" s="21" t="s">
        <v>52</v>
      </c>
      <c r="C275" s="21" t="s">
        <v>59</v>
      </c>
      <c r="D275" s="21" t="s">
        <v>86</v>
      </c>
      <c r="E275" s="21" t="s">
        <v>85</v>
      </c>
      <c r="F275" s="22">
        <v>45973.0</v>
      </c>
      <c r="G275" s="7" t="s">
        <v>483</v>
      </c>
      <c r="H275" s="21" t="s">
        <v>515</v>
      </c>
      <c r="I275" s="21" t="s">
        <v>531</v>
      </c>
      <c r="J275" s="6" t="s">
        <v>101</v>
      </c>
    </row>
    <row r="276">
      <c r="A276" s="21" t="s">
        <v>51</v>
      </c>
      <c r="B276" s="21" t="s">
        <v>52</v>
      </c>
      <c r="C276" s="21" t="s">
        <v>59</v>
      </c>
      <c r="D276" s="21" t="s">
        <v>86</v>
      </c>
      <c r="E276" s="21" t="s">
        <v>85</v>
      </c>
      <c r="F276" s="22">
        <v>45994.0</v>
      </c>
      <c r="G276" s="7" t="s">
        <v>486</v>
      </c>
      <c r="H276" s="21" t="s">
        <v>517</v>
      </c>
      <c r="I276" s="21" t="s">
        <v>485</v>
      </c>
      <c r="J276" s="6" t="s">
        <v>101</v>
      </c>
    </row>
    <row r="277">
      <c r="A277" s="21" t="s">
        <v>51</v>
      </c>
      <c r="B277" s="21" t="s">
        <v>52</v>
      </c>
      <c r="C277" s="21" t="s">
        <v>59</v>
      </c>
      <c r="D277" s="21" t="s">
        <v>86</v>
      </c>
      <c r="E277" s="21" t="s">
        <v>85</v>
      </c>
      <c r="F277" s="22">
        <v>45961.0</v>
      </c>
      <c r="G277" s="7" t="s">
        <v>492</v>
      </c>
      <c r="H277" s="21" t="s">
        <v>493</v>
      </c>
      <c r="I277" s="21" t="s">
        <v>494</v>
      </c>
      <c r="J277" s="6" t="s">
        <v>101</v>
      </c>
    </row>
    <row r="278">
      <c r="A278" s="21" t="s">
        <v>51</v>
      </c>
      <c r="B278" s="21" t="s">
        <v>52</v>
      </c>
      <c r="C278" s="21" t="s">
        <v>59</v>
      </c>
      <c r="D278" s="21" t="s">
        <v>86</v>
      </c>
      <c r="E278" s="21" t="s">
        <v>85</v>
      </c>
      <c r="F278" s="22">
        <v>45904.0</v>
      </c>
      <c r="G278" s="7" t="s">
        <v>489</v>
      </c>
      <c r="H278" s="21" t="s">
        <v>490</v>
      </c>
      <c r="I278" s="21" t="s">
        <v>500</v>
      </c>
      <c r="J278" s="6" t="s">
        <v>101</v>
      </c>
    </row>
    <row r="279">
      <c r="A279" s="21" t="s">
        <v>51</v>
      </c>
      <c r="B279" s="21" t="s">
        <v>52</v>
      </c>
      <c r="C279" s="21" t="s">
        <v>59</v>
      </c>
      <c r="D279" s="21" t="s">
        <v>86</v>
      </c>
      <c r="E279" s="21" t="s">
        <v>85</v>
      </c>
      <c r="F279" s="22">
        <v>45932.0</v>
      </c>
      <c r="G279" s="7" t="s">
        <v>498</v>
      </c>
      <c r="H279" s="21" t="s">
        <v>499</v>
      </c>
      <c r="I279" s="21" t="s">
        <v>532</v>
      </c>
      <c r="J279" s="6" t="s">
        <v>101</v>
      </c>
    </row>
    <row r="280">
      <c r="A280" s="21" t="s">
        <v>51</v>
      </c>
      <c r="B280" s="21" t="s">
        <v>52</v>
      </c>
      <c r="C280" s="21" t="s">
        <v>59</v>
      </c>
      <c r="D280" s="21" t="s">
        <v>86</v>
      </c>
      <c r="E280" s="21" t="s">
        <v>85</v>
      </c>
      <c r="F280" s="22">
        <v>45945.0</v>
      </c>
      <c r="G280" s="7" t="s">
        <v>501</v>
      </c>
      <c r="H280" s="21" t="s">
        <v>502</v>
      </c>
      <c r="I280" s="21" t="s">
        <v>532</v>
      </c>
      <c r="J280" s="6" t="s">
        <v>101</v>
      </c>
    </row>
    <row r="281">
      <c r="A281" s="21" t="s">
        <v>51</v>
      </c>
      <c r="B281" s="21" t="s">
        <v>52</v>
      </c>
      <c r="C281" s="21" t="s">
        <v>59</v>
      </c>
      <c r="D281" s="21" t="s">
        <v>86</v>
      </c>
      <c r="E281" s="21" t="s">
        <v>85</v>
      </c>
      <c r="F281" s="22">
        <v>45974.0</v>
      </c>
      <c r="G281" s="7" t="s">
        <v>533</v>
      </c>
      <c r="H281" s="21" t="s">
        <v>534</v>
      </c>
      <c r="I281" s="21" t="s">
        <v>532</v>
      </c>
      <c r="J281" s="6" t="s">
        <v>101</v>
      </c>
    </row>
    <row r="282">
      <c r="A282" s="21" t="s">
        <v>51</v>
      </c>
      <c r="B282" s="21" t="s">
        <v>52</v>
      </c>
      <c r="C282" s="21" t="s">
        <v>59</v>
      </c>
      <c r="D282" s="21" t="s">
        <v>86</v>
      </c>
      <c r="E282" s="21" t="s">
        <v>85</v>
      </c>
      <c r="F282" s="22">
        <v>45990.0</v>
      </c>
      <c r="G282" s="7" t="s">
        <v>503</v>
      </c>
      <c r="H282" s="21" t="s">
        <v>493</v>
      </c>
      <c r="I282" s="21" t="s">
        <v>494</v>
      </c>
      <c r="J282" s="6" t="s">
        <v>101</v>
      </c>
    </row>
    <row r="283">
      <c r="A283" s="21" t="s">
        <v>51</v>
      </c>
      <c r="B283" s="21" t="s">
        <v>52</v>
      </c>
      <c r="C283" s="21" t="s">
        <v>59</v>
      </c>
      <c r="D283" s="21" t="s">
        <v>86</v>
      </c>
      <c r="E283" s="21" t="s">
        <v>85</v>
      </c>
      <c r="F283" s="22">
        <v>45957.0</v>
      </c>
      <c r="G283" s="7" t="s">
        <v>535</v>
      </c>
      <c r="H283" s="21" t="s">
        <v>536</v>
      </c>
      <c r="I283" s="21" t="s">
        <v>537</v>
      </c>
      <c r="J283" s="6" t="s">
        <v>101</v>
      </c>
    </row>
    <row r="284">
      <c r="A284" s="21" t="s">
        <v>51</v>
      </c>
      <c r="B284" s="21" t="s">
        <v>52</v>
      </c>
      <c r="C284" s="21" t="s">
        <v>59</v>
      </c>
      <c r="D284" s="21" t="s">
        <v>86</v>
      </c>
      <c r="E284" s="21" t="s">
        <v>85</v>
      </c>
      <c r="F284" s="22">
        <v>45985.0</v>
      </c>
      <c r="G284" s="7" t="s">
        <v>538</v>
      </c>
      <c r="H284" s="21" t="s">
        <v>539</v>
      </c>
      <c r="I284" s="21" t="s">
        <v>537</v>
      </c>
      <c r="J284" s="6" t="s">
        <v>101</v>
      </c>
    </row>
    <row r="285">
      <c r="A285" s="21" t="s">
        <v>51</v>
      </c>
      <c r="B285" s="21" t="s">
        <v>52</v>
      </c>
      <c r="C285" s="21" t="s">
        <v>59</v>
      </c>
      <c r="D285" s="21" t="s">
        <v>86</v>
      </c>
      <c r="E285" s="21" t="s">
        <v>85</v>
      </c>
      <c r="F285" s="22">
        <v>45995.0</v>
      </c>
      <c r="G285" s="7" t="s">
        <v>540</v>
      </c>
      <c r="H285" s="21" t="s">
        <v>541</v>
      </c>
      <c r="I285" s="21" t="s">
        <v>537</v>
      </c>
      <c r="J285" s="6" t="s">
        <v>101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16.25"/>
    <col customWidth="1" min="3" max="3" width="11.38"/>
    <col customWidth="1" min="4" max="4" width="37.13"/>
    <col customWidth="1" min="5" max="5" width="35.25"/>
    <col customWidth="1" min="6" max="6" width="36.5"/>
    <col customWidth="1" min="7" max="7" width="21.13"/>
  </cols>
  <sheetData>
    <row r="1">
      <c r="A1" s="24" t="s">
        <v>542</v>
      </c>
      <c r="B1" s="24" t="s">
        <v>0</v>
      </c>
      <c r="C1" s="24" t="s">
        <v>7</v>
      </c>
      <c r="D1" s="24" t="s">
        <v>543</v>
      </c>
      <c r="E1" s="24" t="s">
        <v>544</v>
      </c>
      <c r="F1" s="24" t="s">
        <v>545</v>
      </c>
      <c r="G1" s="24" t="s">
        <v>91</v>
      </c>
    </row>
    <row r="2">
      <c r="A2" s="21" t="s">
        <v>546</v>
      </c>
      <c r="B2" s="7">
        <v>86260.0</v>
      </c>
      <c r="C2" s="25" t="s">
        <v>13</v>
      </c>
      <c r="D2" s="25" t="s">
        <v>547</v>
      </c>
      <c r="E2" s="25" t="s">
        <v>548</v>
      </c>
      <c r="F2" s="23" t="s">
        <v>549</v>
      </c>
      <c r="G2" s="23" t="s">
        <v>93</v>
      </c>
    </row>
    <row r="3">
      <c r="A3" s="21" t="s">
        <v>550</v>
      </c>
      <c r="B3" s="7" t="s">
        <v>78</v>
      </c>
      <c r="C3" s="25" t="s">
        <v>551</v>
      </c>
      <c r="D3" s="25" t="s">
        <v>552</v>
      </c>
      <c r="E3" s="25" t="s">
        <v>553</v>
      </c>
      <c r="F3" s="23" t="s">
        <v>554</v>
      </c>
      <c r="G3" s="23" t="s">
        <v>93</v>
      </c>
    </row>
    <row r="4">
      <c r="A4" s="21" t="s">
        <v>555</v>
      </c>
      <c r="B4" s="7" t="s">
        <v>63</v>
      </c>
      <c r="C4" s="25" t="s">
        <v>110</v>
      </c>
      <c r="D4" s="25" t="s">
        <v>556</v>
      </c>
      <c r="E4" s="25" t="s">
        <v>557</v>
      </c>
      <c r="F4" s="23" t="s">
        <v>558</v>
      </c>
      <c r="G4" s="23" t="s">
        <v>93</v>
      </c>
    </row>
    <row r="5">
      <c r="A5" s="21" t="s">
        <v>559</v>
      </c>
      <c r="B5" s="7">
        <v>20851.0</v>
      </c>
      <c r="C5" s="25" t="s">
        <v>551</v>
      </c>
      <c r="D5" s="25" t="s">
        <v>560</v>
      </c>
      <c r="E5" s="25" t="s">
        <v>561</v>
      </c>
      <c r="F5" s="23" t="s">
        <v>562</v>
      </c>
      <c r="G5" s="23" t="s">
        <v>93</v>
      </c>
    </row>
    <row r="6">
      <c r="A6" s="21" t="s">
        <v>563</v>
      </c>
      <c r="B6" s="7" t="s">
        <v>114</v>
      </c>
      <c r="C6" s="25" t="s">
        <v>13</v>
      </c>
      <c r="D6" s="25" t="s">
        <v>564</v>
      </c>
      <c r="E6" s="25" t="s">
        <v>565</v>
      </c>
      <c r="F6" s="23" t="s">
        <v>566</v>
      </c>
      <c r="G6" s="6" t="s">
        <v>95</v>
      </c>
    </row>
    <row r="7">
      <c r="A7" s="21" t="s">
        <v>567</v>
      </c>
      <c r="B7" s="7">
        <v>88059.0</v>
      </c>
      <c r="C7" s="25" t="s">
        <v>13</v>
      </c>
      <c r="D7" s="25" t="s">
        <v>568</v>
      </c>
      <c r="E7" s="25" t="s">
        <v>569</v>
      </c>
      <c r="F7" s="23" t="s">
        <v>570</v>
      </c>
      <c r="G7" s="6" t="s">
        <v>95</v>
      </c>
    </row>
    <row r="8">
      <c r="A8" s="21" t="s">
        <v>571</v>
      </c>
      <c r="B8" s="7">
        <v>86906.0</v>
      </c>
      <c r="C8" s="25" t="s">
        <v>13</v>
      </c>
      <c r="D8" s="25" t="s">
        <v>572</v>
      </c>
      <c r="E8" s="25" t="s">
        <v>573</v>
      </c>
      <c r="F8" s="23" t="s">
        <v>574</v>
      </c>
      <c r="G8" s="6" t="s">
        <v>97</v>
      </c>
    </row>
    <row r="9">
      <c r="A9" s="21" t="s">
        <v>575</v>
      </c>
      <c r="B9" s="7">
        <v>86357.0</v>
      </c>
      <c r="C9" s="25" t="s">
        <v>13</v>
      </c>
      <c r="D9" s="25" t="s">
        <v>576</v>
      </c>
      <c r="E9" s="25" t="s">
        <v>577</v>
      </c>
      <c r="F9" s="23" t="s">
        <v>578</v>
      </c>
      <c r="G9" s="6" t="s">
        <v>97</v>
      </c>
    </row>
    <row r="10">
      <c r="A10" s="21" t="s">
        <v>579</v>
      </c>
      <c r="B10" s="7">
        <v>86944.0</v>
      </c>
      <c r="C10" s="25" t="s">
        <v>13</v>
      </c>
      <c r="D10" s="25" t="s">
        <v>580</v>
      </c>
      <c r="E10" s="25" t="s">
        <v>581</v>
      </c>
      <c r="F10" s="23" t="s">
        <v>582</v>
      </c>
      <c r="G10" s="6" t="s">
        <v>97</v>
      </c>
    </row>
    <row r="11">
      <c r="A11" s="21" t="s">
        <v>583</v>
      </c>
      <c r="B11" s="7" t="s">
        <v>584</v>
      </c>
      <c r="C11" s="25" t="s">
        <v>13</v>
      </c>
      <c r="D11" s="25" t="s">
        <v>585</v>
      </c>
      <c r="E11" s="25" t="s">
        <v>586</v>
      </c>
      <c r="F11" s="23" t="s">
        <v>587</v>
      </c>
      <c r="G11" s="6" t="s">
        <v>97</v>
      </c>
    </row>
    <row r="12">
      <c r="A12" s="21" t="s">
        <v>588</v>
      </c>
      <c r="B12" s="7">
        <v>86901.0</v>
      </c>
      <c r="C12" s="25" t="s">
        <v>13</v>
      </c>
      <c r="D12" s="25" t="s">
        <v>589</v>
      </c>
      <c r="E12" s="25" t="s">
        <v>590</v>
      </c>
      <c r="F12" s="23" t="s">
        <v>591</v>
      </c>
      <c r="G12" s="6" t="s">
        <v>99</v>
      </c>
    </row>
    <row r="13">
      <c r="A13" s="21" t="s">
        <v>592</v>
      </c>
      <c r="B13" s="7">
        <v>86843.0</v>
      </c>
      <c r="C13" s="25" t="s">
        <v>13</v>
      </c>
      <c r="D13" s="25" t="s">
        <v>593</v>
      </c>
      <c r="E13" s="25" t="s">
        <v>594</v>
      </c>
      <c r="F13" s="23" t="s">
        <v>595</v>
      </c>
      <c r="G13" s="6" t="s">
        <v>99</v>
      </c>
    </row>
    <row r="14">
      <c r="A14" s="21" t="s">
        <v>596</v>
      </c>
      <c r="B14" s="7" t="s">
        <v>72</v>
      </c>
      <c r="C14" s="25" t="s">
        <v>597</v>
      </c>
      <c r="D14" s="25" t="s">
        <v>598</v>
      </c>
      <c r="E14" s="25" t="s">
        <v>599</v>
      </c>
      <c r="F14" s="23" t="s">
        <v>600</v>
      </c>
      <c r="G14" s="6" t="s">
        <v>101</v>
      </c>
    </row>
    <row r="15">
      <c r="A15" s="21" t="s">
        <v>601</v>
      </c>
      <c r="B15" s="7" t="s">
        <v>68</v>
      </c>
      <c r="C15" s="25" t="s">
        <v>597</v>
      </c>
      <c r="D15" s="25" t="s">
        <v>602</v>
      </c>
      <c r="E15" s="25" t="s">
        <v>603</v>
      </c>
      <c r="F15" s="23" t="s">
        <v>604</v>
      </c>
      <c r="G15" s="6" t="s">
        <v>101</v>
      </c>
    </row>
    <row r="16">
      <c r="A16" s="21" t="s">
        <v>605</v>
      </c>
      <c r="B16" s="7" t="s">
        <v>85</v>
      </c>
      <c r="C16" s="25" t="s">
        <v>13</v>
      </c>
      <c r="D16" s="25" t="s">
        <v>606</v>
      </c>
      <c r="E16" s="25" t="s">
        <v>607</v>
      </c>
      <c r="F16" s="23" t="s">
        <v>608</v>
      </c>
      <c r="G16" s="6" t="s">
        <v>101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4" max="4" width="23.0"/>
    <col customWidth="1" min="5" max="5" width="24.25"/>
    <col customWidth="1" min="6" max="6" width="36.5"/>
    <col customWidth="1" min="7" max="7" width="12.5"/>
  </cols>
  <sheetData>
    <row r="1">
      <c r="A1" s="5" t="s">
        <v>542</v>
      </c>
      <c r="B1" s="5" t="s">
        <v>0</v>
      </c>
      <c r="C1" s="5" t="s">
        <v>7</v>
      </c>
      <c r="D1" s="5" t="s">
        <v>609</v>
      </c>
      <c r="E1" s="5" t="s">
        <v>610</v>
      </c>
      <c r="F1" s="5" t="s">
        <v>611</v>
      </c>
      <c r="G1" s="5" t="s">
        <v>91</v>
      </c>
    </row>
    <row r="2">
      <c r="A2" s="7" t="s">
        <v>546</v>
      </c>
      <c r="B2" s="7">
        <v>86260.0</v>
      </c>
      <c r="C2" s="7" t="s">
        <v>13</v>
      </c>
      <c r="D2" s="7" t="s">
        <v>612</v>
      </c>
      <c r="E2" s="7" t="s">
        <v>613</v>
      </c>
      <c r="F2" s="7" t="s">
        <v>614</v>
      </c>
      <c r="G2" s="7" t="s">
        <v>93</v>
      </c>
    </row>
    <row r="3">
      <c r="A3" s="7" t="s">
        <v>550</v>
      </c>
      <c r="B3" s="7" t="s">
        <v>78</v>
      </c>
      <c r="C3" s="7" t="s">
        <v>110</v>
      </c>
      <c r="D3" s="7" t="s">
        <v>612</v>
      </c>
      <c r="E3" s="7" t="s">
        <v>615</v>
      </c>
      <c r="F3" s="7" t="s">
        <v>616</v>
      </c>
      <c r="G3" s="7" t="s">
        <v>93</v>
      </c>
    </row>
    <row r="4">
      <c r="A4" s="7" t="s">
        <v>555</v>
      </c>
      <c r="B4" s="7" t="s">
        <v>63</v>
      </c>
      <c r="C4" s="7" t="s">
        <v>110</v>
      </c>
      <c r="D4" s="7" t="s">
        <v>612</v>
      </c>
      <c r="E4" s="7" t="s">
        <v>617</v>
      </c>
      <c r="F4" s="7" t="s">
        <v>618</v>
      </c>
      <c r="G4" s="7" t="s">
        <v>93</v>
      </c>
    </row>
    <row r="5">
      <c r="A5" s="7" t="s">
        <v>559</v>
      </c>
      <c r="B5" s="7">
        <v>20851.0</v>
      </c>
      <c r="C5" s="7" t="s">
        <v>110</v>
      </c>
      <c r="D5" s="7" t="s">
        <v>612</v>
      </c>
      <c r="E5" s="7" t="s">
        <v>619</v>
      </c>
      <c r="F5" s="7" t="s">
        <v>620</v>
      </c>
      <c r="G5" s="7" t="s">
        <v>93</v>
      </c>
    </row>
    <row r="6">
      <c r="A6" s="7" t="s">
        <v>621</v>
      </c>
      <c r="B6" s="7">
        <v>88059.0</v>
      </c>
      <c r="C6" s="7" t="s">
        <v>13</v>
      </c>
      <c r="D6" s="7" t="s">
        <v>622</v>
      </c>
      <c r="E6" s="7" t="s">
        <v>623</v>
      </c>
      <c r="F6" s="7" t="s">
        <v>624</v>
      </c>
      <c r="G6" s="6" t="s">
        <v>95</v>
      </c>
    </row>
    <row r="7">
      <c r="A7" s="7" t="s">
        <v>625</v>
      </c>
      <c r="B7" s="7" t="s">
        <v>626</v>
      </c>
      <c r="C7" s="7" t="s">
        <v>13</v>
      </c>
      <c r="D7" s="7" t="s">
        <v>622</v>
      </c>
      <c r="E7" s="7" t="s">
        <v>623</v>
      </c>
      <c r="F7" s="7" t="s">
        <v>624</v>
      </c>
      <c r="G7" s="6" t="s">
        <v>95</v>
      </c>
    </row>
    <row r="8">
      <c r="A8" s="7" t="s">
        <v>627</v>
      </c>
      <c r="B8" s="7">
        <v>86944.0</v>
      </c>
      <c r="C8" s="7" t="s">
        <v>13</v>
      </c>
      <c r="D8" s="7" t="s">
        <v>628</v>
      </c>
      <c r="E8" s="7" t="s">
        <v>629</v>
      </c>
      <c r="F8" s="7" t="s">
        <v>630</v>
      </c>
      <c r="G8" s="6" t="s">
        <v>97</v>
      </c>
    </row>
    <row r="9">
      <c r="A9" s="7" t="s">
        <v>631</v>
      </c>
      <c r="B9" s="7" t="s">
        <v>41</v>
      </c>
      <c r="C9" s="7" t="s">
        <v>13</v>
      </c>
      <c r="D9" s="7" t="s">
        <v>632</v>
      </c>
      <c r="E9" s="7" t="s">
        <v>633</v>
      </c>
      <c r="F9" s="7" t="s">
        <v>634</v>
      </c>
      <c r="G9" s="6" t="s">
        <v>97</v>
      </c>
    </row>
    <row r="10">
      <c r="A10" s="7" t="s">
        <v>635</v>
      </c>
      <c r="B10" s="7">
        <v>86357.0</v>
      </c>
      <c r="C10" s="7" t="s">
        <v>13</v>
      </c>
      <c r="D10" s="7" t="s">
        <v>636</v>
      </c>
      <c r="E10" s="7" t="s">
        <v>637</v>
      </c>
      <c r="F10" s="7" t="s">
        <v>638</v>
      </c>
      <c r="G10" s="6" t="s">
        <v>97</v>
      </c>
    </row>
    <row r="11">
      <c r="A11" s="7" t="s">
        <v>639</v>
      </c>
      <c r="B11" s="7">
        <v>86906.0</v>
      </c>
      <c r="C11" s="7" t="s">
        <v>13</v>
      </c>
      <c r="D11" s="7" t="s">
        <v>640</v>
      </c>
      <c r="E11" s="7" t="s">
        <v>641</v>
      </c>
      <c r="F11" s="7" t="s">
        <v>642</v>
      </c>
      <c r="G11" s="6" t="s">
        <v>97</v>
      </c>
    </row>
    <row r="12">
      <c r="A12" s="7" t="s">
        <v>588</v>
      </c>
      <c r="B12" s="7">
        <v>86901.0</v>
      </c>
      <c r="C12" s="7" t="s">
        <v>13</v>
      </c>
      <c r="D12" s="7" t="s">
        <v>643</v>
      </c>
      <c r="E12" s="7" t="s">
        <v>643</v>
      </c>
      <c r="F12" s="7" t="s">
        <v>644</v>
      </c>
      <c r="G12" s="6" t="s">
        <v>99</v>
      </c>
    </row>
    <row r="13">
      <c r="A13" s="7" t="s">
        <v>592</v>
      </c>
      <c r="B13" s="7">
        <v>86843.0</v>
      </c>
      <c r="C13" s="7" t="s">
        <v>13</v>
      </c>
      <c r="D13" s="7" t="s">
        <v>643</v>
      </c>
      <c r="E13" s="7" t="s">
        <v>643</v>
      </c>
      <c r="F13" s="7" t="s">
        <v>644</v>
      </c>
      <c r="G13" s="6" t="s">
        <v>99</v>
      </c>
    </row>
    <row r="14">
      <c r="A14" s="7" t="s">
        <v>596</v>
      </c>
      <c r="B14" s="7" t="s">
        <v>72</v>
      </c>
      <c r="C14" s="7" t="s">
        <v>597</v>
      </c>
      <c r="D14" s="7" t="s">
        <v>645</v>
      </c>
      <c r="E14" s="7" t="s">
        <v>646</v>
      </c>
      <c r="F14" s="7" t="s">
        <v>647</v>
      </c>
      <c r="G14" s="6" t="s">
        <v>101</v>
      </c>
    </row>
    <row r="15">
      <c r="A15" s="7" t="s">
        <v>601</v>
      </c>
      <c r="B15" s="7" t="s">
        <v>68</v>
      </c>
      <c r="C15" s="7" t="s">
        <v>597</v>
      </c>
      <c r="D15" s="7" t="s">
        <v>648</v>
      </c>
      <c r="E15" s="7" t="s">
        <v>648</v>
      </c>
      <c r="F15" s="7" t="s">
        <v>649</v>
      </c>
      <c r="G15" s="6" t="s">
        <v>101</v>
      </c>
    </row>
    <row r="16">
      <c r="A16" s="7" t="s">
        <v>605</v>
      </c>
      <c r="B16" s="7" t="s">
        <v>85</v>
      </c>
      <c r="C16" s="7" t="s">
        <v>597</v>
      </c>
      <c r="D16" s="7" t="s">
        <v>650</v>
      </c>
      <c r="E16" s="7" t="s">
        <v>651</v>
      </c>
      <c r="F16" s="7" t="s">
        <v>652</v>
      </c>
      <c r="G16" s="6" t="s">
        <v>101</v>
      </c>
    </row>
    <row r="17">
      <c r="A17" s="7" t="s">
        <v>605</v>
      </c>
      <c r="B17" s="7" t="s">
        <v>85</v>
      </c>
      <c r="C17" s="7" t="s">
        <v>18</v>
      </c>
      <c r="D17" s="7" t="s">
        <v>653</v>
      </c>
      <c r="E17" s="7" t="s">
        <v>653</v>
      </c>
      <c r="F17" s="7" t="s">
        <v>654</v>
      </c>
      <c r="G17" s="6" t="s">
        <v>101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5" max="5" width="24.0"/>
  </cols>
  <sheetData>
    <row r="1">
      <c r="A1" s="5" t="s">
        <v>655</v>
      </c>
      <c r="B1" s="5" t="s">
        <v>656</v>
      </c>
      <c r="C1" s="5" t="s">
        <v>657</v>
      </c>
      <c r="D1" s="5" t="s">
        <v>658</v>
      </c>
      <c r="E1" s="5" t="s">
        <v>91</v>
      </c>
    </row>
    <row r="2">
      <c r="A2" s="7" t="s">
        <v>659</v>
      </c>
      <c r="B2" s="7">
        <v>13.0</v>
      </c>
      <c r="C2" s="7">
        <v>7.0</v>
      </c>
      <c r="D2" s="26">
        <v>0.5385</v>
      </c>
      <c r="E2" s="23" t="s">
        <v>93</v>
      </c>
    </row>
    <row r="3">
      <c r="A3" s="7" t="s">
        <v>660</v>
      </c>
      <c r="B3" s="7">
        <v>13.0</v>
      </c>
      <c r="C3" s="7">
        <v>8.0</v>
      </c>
      <c r="D3" s="26">
        <v>0.6154</v>
      </c>
      <c r="E3" s="23" t="s">
        <v>93</v>
      </c>
    </row>
    <row r="4">
      <c r="A4" s="7" t="s">
        <v>661</v>
      </c>
      <c r="B4" s="7">
        <v>24.0</v>
      </c>
      <c r="C4" s="7">
        <v>27.0</v>
      </c>
      <c r="D4" s="26">
        <v>1.125</v>
      </c>
      <c r="E4" s="23" t="s">
        <v>93</v>
      </c>
    </row>
    <row r="5">
      <c r="A5" s="7" t="s">
        <v>662</v>
      </c>
      <c r="B5" s="7">
        <v>0.0</v>
      </c>
      <c r="C5" s="7">
        <v>0.0</v>
      </c>
      <c r="D5" s="26">
        <v>0.0</v>
      </c>
      <c r="E5" s="23" t="s">
        <v>93</v>
      </c>
    </row>
    <row r="6">
      <c r="A6" s="7" t="s">
        <v>663</v>
      </c>
      <c r="B6" s="7">
        <v>8.0</v>
      </c>
      <c r="C6" s="7">
        <v>5.0</v>
      </c>
      <c r="D6" s="26">
        <v>0.625</v>
      </c>
      <c r="E6" s="23" t="s">
        <v>93</v>
      </c>
    </row>
    <row r="7">
      <c r="A7" s="7" t="s">
        <v>659</v>
      </c>
      <c r="B7" s="7">
        <v>12.0</v>
      </c>
      <c r="C7" s="7">
        <v>6.0</v>
      </c>
      <c r="D7" s="26">
        <v>0.5</v>
      </c>
      <c r="E7" s="6" t="s">
        <v>95</v>
      </c>
    </row>
    <row r="8">
      <c r="A8" s="7" t="s">
        <v>660</v>
      </c>
      <c r="B8" s="7">
        <v>16.0</v>
      </c>
      <c r="C8" s="7">
        <v>10.0</v>
      </c>
      <c r="D8" s="26">
        <v>0.62</v>
      </c>
      <c r="E8" s="6" t="s">
        <v>95</v>
      </c>
    </row>
    <row r="9">
      <c r="A9" s="7" t="s">
        <v>661</v>
      </c>
      <c r="B9" s="7">
        <v>10.0</v>
      </c>
      <c r="C9" s="7">
        <v>10.0</v>
      </c>
      <c r="D9" s="26">
        <v>1.0</v>
      </c>
      <c r="E9" s="6" t="s">
        <v>95</v>
      </c>
    </row>
    <row r="10">
      <c r="A10" s="7" t="s">
        <v>664</v>
      </c>
      <c r="B10" s="7">
        <v>0.0</v>
      </c>
      <c r="C10" s="7">
        <v>0.0</v>
      </c>
      <c r="D10" s="26">
        <v>1.0</v>
      </c>
      <c r="E10" s="6" t="s">
        <v>95</v>
      </c>
    </row>
    <row r="11">
      <c r="A11" s="7" t="s">
        <v>659</v>
      </c>
      <c r="B11" s="7">
        <v>14.0</v>
      </c>
      <c r="C11" s="7">
        <v>13.0</v>
      </c>
      <c r="D11" s="26">
        <v>0.9285</v>
      </c>
      <c r="E11" s="6" t="s">
        <v>97</v>
      </c>
    </row>
    <row r="12">
      <c r="A12" s="7" t="s">
        <v>660</v>
      </c>
      <c r="B12" s="7">
        <v>12.0</v>
      </c>
      <c r="C12" s="7">
        <v>12.0</v>
      </c>
      <c r="D12" s="26">
        <v>1.0</v>
      </c>
      <c r="E12" s="6" t="s">
        <v>97</v>
      </c>
    </row>
    <row r="13">
      <c r="A13" s="7" t="s">
        <v>661</v>
      </c>
      <c r="B13" s="7">
        <v>28.0</v>
      </c>
      <c r="C13" s="7">
        <v>38.0</v>
      </c>
      <c r="D13" s="26">
        <v>1.0</v>
      </c>
      <c r="E13" s="6" t="s">
        <v>97</v>
      </c>
    </row>
    <row r="14">
      <c r="A14" s="7" t="s">
        <v>662</v>
      </c>
      <c r="B14" s="7">
        <v>0.0</v>
      </c>
      <c r="C14" s="7">
        <v>0.0</v>
      </c>
      <c r="D14" s="26">
        <v>0.0</v>
      </c>
      <c r="E14" s="6" t="s">
        <v>97</v>
      </c>
    </row>
    <row r="15">
      <c r="A15" s="7" t="s">
        <v>663</v>
      </c>
      <c r="B15" s="7">
        <v>3.0</v>
      </c>
      <c r="C15" s="7">
        <v>3.0</v>
      </c>
      <c r="D15" s="26">
        <v>1.0</v>
      </c>
      <c r="E15" s="6" t="s">
        <v>97</v>
      </c>
    </row>
    <row r="16">
      <c r="A16" s="7" t="s">
        <v>659</v>
      </c>
      <c r="B16" s="7">
        <v>3.0</v>
      </c>
      <c r="C16" s="7">
        <v>3.0</v>
      </c>
      <c r="D16" s="26">
        <v>1.0</v>
      </c>
      <c r="E16" s="6" t="s">
        <v>99</v>
      </c>
    </row>
    <row r="17">
      <c r="A17" s="7" t="s">
        <v>660</v>
      </c>
      <c r="B17" s="7">
        <v>4.0</v>
      </c>
      <c r="C17" s="7">
        <v>4.0</v>
      </c>
      <c r="D17" s="26">
        <v>1.0</v>
      </c>
      <c r="E17" s="6" t="s">
        <v>99</v>
      </c>
    </row>
    <row r="18">
      <c r="A18" s="7" t="s">
        <v>661</v>
      </c>
      <c r="B18" s="7">
        <v>5.0</v>
      </c>
      <c r="C18" s="7">
        <v>5.0</v>
      </c>
      <c r="D18" s="26">
        <v>1.0</v>
      </c>
      <c r="E18" s="6" t="s">
        <v>99</v>
      </c>
    </row>
    <row r="19">
      <c r="A19" s="7" t="s">
        <v>662</v>
      </c>
      <c r="B19" s="7">
        <v>0.0</v>
      </c>
      <c r="C19" s="7">
        <v>0.0</v>
      </c>
      <c r="D19" s="26">
        <v>0.0</v>
      </c>
      <c r="E19" s="6" t="s">
        <v>99</v>
      </c>
    </row>
    <row r="20">
      <c r="A20" s="7" t="s">
        <v>663</v>
      </c>
      <c r="B20" s="7">
        <v>1.0</v>
      </c>
      <c r="C20" s="7">
        <v>1.0</v>
      </c>
      <c r="D20" s="26">
        <v>1.0</v>
      </c>
      <c r="E20" s="6" t="s">
        <v>99</v>
      </c>
    </row>
    <row r="21">
      <c r="A21" s="7" t="s">
        <v>659</v>
      </c>
      <c r="B21" s="7">
        <v>10.0</v>
      </c>
      <c r="C21" s="7">
        <v>8.0</v>
      </c>
      <c r="D21" s="26">
        <v>0.8</v>
      </c>
      <c r="E21" s="6" t="s">
        <v>101</v>
      </c>
    </row>
    <row r="22">
      <c r="A22" s="7" t="s">
        <v>660</v>
      </c>
      <c r="B22" s="7">
        <v>10.0</v>
      </c>
      <c r="C22" s="7">
        <v>10.0</v>
      </c>
      <c r="D22" s="26">
        <v>1.0</v>
      </c>
      <c r="E22" s="6" t="s">
        <v>101</v>
      </c>
    </row>
    <row r="23">
      <c r="A23" s="7" t="s">
        <v>661</v>
      </c>
      <c r="B23" s="7">
        <v>47.0</v>
      </c>
      <c r="C23" s="7">
        <v>47.0</v>
      </c>
      <c r="D23" s="26">
        <v>1.0</v>
      </c>
      <c r="E23" s="6" t="s">
        <v>101</v>
      </c>
    </row>
    <row r="24">
      <c r="A24" s="7" t="s">
        <v>662</v>
      </c>
      <c r="B24" s="7">
        <v>0.0</v>
      </c>
      <c r="C24" s="7">
        <v>0.0</v>
      </c>
      <c r="D24" s="26">
        <v>0.0</v>
      </c>
      <c r="E24" s="6" t="s">
        <v>101</v>
      </c>
    </row>
    <row r="25">
      <c r="A25" s="7" t="s">
        <v>663</v>
      </c>
      <c r="B25" s="7">
        <v>6.0</v>
      </c>
      <c r="C25" s="7">
        <v>6.0</v>
      </c>
      <c r="D25" s="26">
        <v>1.0</v>
      </c>
      <c r="E25" s="6" t="s">
        <v>101</v>
      </c>
    </row>
    <row r="26">
      <c r="A26" s="7" t="s">
        <v>665</v>
      </c>
      <c r="B26" s="7">
        <v>3.0</v>
      </c>
      <c r="C26" s="7">
        <v>3.0</v>
      </c>
      <c r="D26" s="26">
        <v>1.0</v>
      </c>
      <c r="E26" s="6" t="s">
        <v>101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3" max="3" width="9.63"/>
    <col customWidth="1" min="4" max="4" width="46.75"/>
    <col customWidth="1" min="5" max="5" width="63.75"/>
    <col customWidth="1" min="6" max="6" width="14.38"/>
  </cols>
  <sheetData>
    <row r="1">
      <c r="A1" s="27" t="s">
        <v>542</v>
      </c>
      <c r="B1" s="27" t="s">
        <v>0</v>
      </c>
      <c r="C1" s="27" t="s">
        <v>7</v>
      </c>
      <c r="D1" s="27" t="s">
        <v>666</v>
      </c>
      <c r="E1" s="27" t="s">
        <v>667</v>
      </c>
      <c r="F1" s="27" t="s">
        <v>91</v>
      </c>
    </row>
    <row r="2">
      <c r="A2" s="21" t="s">
        <v>546</v>
      </c>
      <c r="B2" s="21">
        <v>86260.0</v>
      </c>
      <c r="C2" s="21" t="s">
        <v>13</v>
      </c>
      <c r="D2" s="21" t="s">
        <v>668</v>
      </c>
      <c r="E2" s="21" t="s">
        <v>669</v>
      </c>
      <c r="F2" s="23" t="s">
        <v>93</v>
      </c>
    </row>
    <row r="3">
      <c r="A3" s="21" t="s">
        <v>550</v>
      </c>
      <c r="B3" s="21" t="s">
        <v>78</v>
      </c>
      <c r="C3" s="21" t="s">
        <v>551</v>
      </c>
      <c r="D3" s="21" t="s">
        <v>670</v>
      </c>
      <c r="E3" s="21" t="s">
        <v>671</v>
      </c>
      <c r="F3" s="23" t="s">
        <v>93</v>
      </c>
    </row>
    <row r="4">
      <c r="A4" s="21" t="s">
        <v>555</v>
      </c>
      <c r="B4" s="21" t="s">
        <v>63</v>
      </c>
      <c r="C4" s="21" t="s">
        <v>110</v>
      </c>
      <c r="D4" s="21" t="s">
        <v>672</v>
      </c>
      <c r="E4" s="21" t="s">
        <v>673</v>
      </c>
      <c r="F4" s="23" t="s">
        <v>93</v>
      </c>
    </row>
    <row r="5">
      <c r="A5" s="21" t="s">
        <v>559</v>
      </c>
      <c r="B5" s="21">
        <v>20851.0</v>
      </c>
      <c r="C5" s="21" t="s">
        <v>110</v>
      </c>
      <c r="D5" s="21" t="s">
        <v>674</v>
      </c>
      <c r="E5" s="21" t="s">
        <v>675</v>
      </c>
      <c r="F5" s="23" t="s">
        <v>93</v>
      </c>
    </row>
    <row r="6">
      <c r="A6" s="21" t="s">
        <v>621</v>
      </c>
      <c r="B6" s="21">
        <v>88059.0</v>
      </c>
      <c r="C6" s="21" t="s">
        <v>13</v>
      </c>
      <c r="D6" s="21" t="s">
        <v>676</v>
      </c>
      <c r="E6" s="21" t="s">
        <v>677</v>
      </c>
      <c r="F6" s="6" t="s">
        <v>95</v>
      </c>
    </row>
    <row r="7">
      <c r="A7" s="21" t="s">
        <v>625</v>
      </c>
      <c r="B7" s="21" t="s">
        <v>626</v>
      </c>
      <c r="C7" s="21" t="s">
        <v>13</v>
      </c>
      <c r="D7" s="21" t="s">
        <v>678</v>
      </c>
      <c r="E7" s="21" t="s">
        <v>679</v>
      </c>
      <c r="F7" s="6" t="s">
        <v>95</v>
      </c>
    </row>
    <row r="8">
      <c r="A8" s="21" t="s">
        <v>639</v>
      </c>
      <c r="B8" s="21">
        <v>86906.0</v>
      </c>
      <c r="C8" s="21" t="s">
        <v>13</v>
      </c>
      <c r="D8" s="21" t="s">
        <v>680</v>
      </c>
      <c r="E8" s="21" t="s">
        <v>681</v>
      </c>
      <c r="F8" s="6" t="s">
        <v>97</v>
      </c>
    </row>
    <row r="9">
      <c r="A9" s="21" t="s">
        <v>627</v>
      </c>
      <c r="B9" s="21">
        <v>86944.0</v>
      </c>
      <c r="C9" s="21" t="s">
        <v>13</v>
      </c>
      <c r="D9" s="21" t="s">
        <v>682</v>
      </c>
      <c r="E9" s="21" t="s">
        <v>683</v>
      </c>
      <c r="F9" s="6" t="s">
        <v>97</v>
      </c>
    </row>
    <row r="10">
      <c r="A10" s="21" t="s">
        <v>684</v>
      </c>
      <c r="B10" s="21" t="s">
        <v>41</v>
      </c>
      <c r="C10" s="21" t="s">
        <v>13</v>
      </c>
      <c r="D10" s="21" t="s">
        <v>685</v>
      </c>
      <c r="E10" s="21"/>
      <c r="F10" s="6" t="s">
        <v>97</v>
      </c>
    </row>
    <row r="11">
      <c r="A11" s="21" t="s">
        <v>635</v>
      </c>
      <c r="B11" s="21">
        <v>86357.0</v>
      </c>
      <c r="C11" s="21" t="s">
        <v>13</v>
      </c>
      <c r="D11" s="21" t="s">
        <v>686</v>
      </c>
      <c r="E11" s="21" t="s">
        <v>687</v>
      </c>
      <c r="F11" s="6" t="s">
        <v>97</v>
      </c>
    </row>
    <row r="12">
      <c r="A12" s="21" t="s">
        <v>588</v>
      </c>
      <c r="B12" s="21">
        <v>86901.0</v>
      </c>
      <c r="C12" s="21" t="s">
        <v>13</v>
      </c>
      <c r="D12" s="21" t="s">
        <v>688</v>
      </c>
      <c r="E12" s="21" t="s">
        <v>689</v>
      </c>
      <c r="F12" s="6" t="s">
        <v>99</v>
      </c>
    </row>
    <row r="13">
      <c r="A13" s="21" t="s">
        <v>592</v>
      </c>
      <c r="B13" s="21">
        <v>86843.0</v>
      </c>
      <c r="C13" s="21" t="s">
        <v>13</v>
      </c>
      <c r="D13" s="21" t="s">
        <v>690</v>
      </c>
      <c r="E13" s="21" t="s">
        <v>691</v>
      </c>
      <c r="F13" s="6" t="s">
        <v>99</v>
      </c>
    </row>
    <row r="14">
      <c r="A14" s="21" t="s">
        <v>692</v>
      </c>
      <c r="B14" s="21">
        <v>88059.0</v>
      </c>
      <c r="C14" s="21" t="s">
        <v>13</v>
      </c>
      <c r="D14" s="21" t="s">
        <v>693</v>
      </c>
      <c r="E14" s="21" t="s">
        <v>681</v>
      </c>
      <c r="F14" s="6" t="s">
        <v>101</v>
      </c>
    </row>
    <row r="15">
      <c r="A15" s="21" t="s">
        <v>596</v>
      </c>
      <c r="B15" s="21" t="s">
        <v>72</v>
      </c>
      <c r="C15" s="21" t="s">
        <v>597</v>
      </c>
      <c r="D15" s="28" t="s">
        <v>694</v>
      </c>
      <c r="E15" s="28" t="s">
        <v>695</v>
      </c>
      <c r="F15" s="6" t="s">
        <v>101</v>
      </c>
    </row>
    <row r="16">
      <c r="A16" s="21" t="s">
        <v>601</v>
      </c>
      <c r="B16" s="21" t="s">
        <v>68</v>
      </c>
      <c r="C16" s="21" t="s">
        <v>597</v>
      </c>
      <c r="D16" s="28" t="s">
        <v>696</v>
      </c>
      <c r="E16" s="28" t="s">
        <v>697</v>
      </c>
      <c r="F16" s="6" t="s">
        <v>101</v>
      </c>
    </row>
    <row r="17">
      <c r="A17" s="21" t="s">
        <v>605</v>
      </c>
      <c r="B17" s="21" t="s">
        <v>85</v>
      </c>
      <c r="C17" s="21" t="s">
        <v>597</v>
      </c>
      <c r="D17" s="28" t="s">
        <v>698</v>
      </c>
      <c r="E17" s="28" t="s">
        <v>699</v>
      </c>
      <c r="F17" s="6" t="s">
        <v>101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63"/>
  </cols>
  <sheetData>
    <row r="1">
      <c r="A1" s="5" t="s">
        <v>700</v>
      </c>
      <c r="B1" s="5" t="s">
        <v>91</v>
      </c>
    </row>
    <row r="2">
      <c r="A2" s="23" t="s">
        <v>701</v>
      </c>
      <c r="B2" s="23" t="s">
        <v>93</v>
      </c>
    </row>
    <row r="3">
      <c r="A3" s="23" t="s">
        <v>702</v>
      </c>
      <c r="B3" s="6" t="s">
        <v>95</v>
      </c>
    </row>
    <row r="4">
      <c r="A4" s="23" t="s">
        <v>703</v>
      </c>
      <c r="B4" s="6" t="s">
        <v>97</v>
      </c>
    </row>
    <row r="5">
      <c r="A5" s="23" t="s">
        <v>704</v>
      </c>
      <c r="B5" s="6" t="s">
        <v>99</v>
      </c>
    </row>
    <row r="6">
      <c r="A6" s="23" t="s">
        <v>705</v>
      </c>
      <c r="B6" s="6" t="s">
        <v>101</v>
      </c>
    </row>
  </sheetData>
  <drawing r:id="rId1"/>
</worksheet>
</file>